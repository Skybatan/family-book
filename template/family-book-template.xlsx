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21765" windowWidth="38640" windowHeight="21120" tabRatio="816" firstSheet="0" activeTab="0" autoFilterDateGrouping="1"/>
  </bookViews>
  <sheets>
    <sheet name="Annual Summary" sheetId="1" state="visible" r:id="rId1"/>
    <sheet name="Jan" sheetId="2" state="visible" r:id="rId2"/>
    <sheet name="Feb" sheetId="3" state="visible" r:id="rId3"/>
    <sheet name="Mar" sheetId="4" state="visible" r:id="rId4"/>
    <sheet name="Apr" sheetId="5" state="visible" r:id="rId5"/>
    <sheet name="May" sheetId="6" state="visible" r:id="rId6"/>
    <sheet name="Jun" sheetId="7" state="visible" r:id="rId7"/>
    <sheet name="Jul" sheetId="8" state="visible" r:id="rId8"/>
    <sheet name="Aug" sheetId="9" state="visible" r:id="rId9"/>
    <sheet name="Sep" sheetId="10" state="visible" r:id="rId10"/>
    <sheet name="Oct" sheetId="11" state="visible" r:id="rId11"/>
    <sheet name="Nov" sheetId="12" state="visible" r:id="rId12"/>
    <sheet name="Dec" sheetId="13" state="visible" r:id="rId13"/>
    <sheet name="Holidays" sheetId="14" state="visible" r:id="rId14"/>
    <sheet name="Cards" sheetId="15" state="visible" r:id="rId15"/>
    <sheet name="Log" sheetId="16" state="hidden" r:id="rId16"/>
    <sheet name="Merchant Map" sheetId="17" state="hidden" r:id="rId17"/>
    <sheet name="Statements" sheetId="18" state="hidden" r:id="rId18"/>
  </sheets>
  <definedNames>
    <definedName name="_xlnm.Print_Titles" localSheetId="1">'Jan'!$I:$I</definedName>
    <definedName name="_xlnm.Print_Area" localSheetId="1">'Jan'!$A$1:$BS$44</definedName>
    <definedName name="_xlnm.Print_Titles" localSheetId="2">'Feb'!$I:$I</definedName>
    <definedName name="_xlnm.Print_Titles" localSheetId="3">'Mar'!$I:$I</definedName>
    <definedName name="_xlnm.Print_Titles" localSheetId="4">'Apr'!$I:$I</definedName>
    <definedName name="_xlnm.Print_Titles" localSheetId="5">'May'!$I:$I</definedName>
    <definedName name="_xlnm.Print_Titles" localSheetId="6">'Jun'!$I:$I</definedName>
    <definedName name="_xlnm.Print_Titles" localSheetId="7">'Jul'!$I:$I</definedName>
    <definedName name="_xlnm.Print_Titles" localSheetId="8">'Aug'!$I:$I</definedName>
    <definedName name="_xlnm.Print_Titles" localSheetId="9">'Sep'!$I:$I</definedName>
    <definedName name="_xlnm.Print_Titles" localSheetId="10">'Oct'!$I:$I</definedName>
    <definedName name="_xlnm.Print_Titles" localSheetId="11">'Nov'!$I:$I</definedName>
    <definedName name="_xlnm.Print_Titles" localSheetId="12">'Dec'!$I:$I</definedName>
    <definedName name="_xlnm._FilterDatabase" localSheetId="14" hidden="1">'Cards'!$A$2:$N$2</definedName>
  </definedNames>
  <calcPr calcId="191029" fullCalcOnLoad="1"/>
</workbook>
</file>

<file path=xl/styles.xml><?xml version="1.0" encoding="utf-8"?>
<styleSheet xmlns="http://schemas.openxmlformats.org/spreadsheetml/2006/main">
  <numFmts count="11">
    <numFmt numFmtId="164" formatCode="[$CAD]\ #,##0;[Red][$CAD]\ \-#,##0"/>
    <numFmt numFmtId="165" formatCode="0.0%"/>
    <numFmt numFmtId="166" formatCode="_-&quot;$&quot;* #,##0_-;\-&quot;$&quot;* #,##0_-;_-&quot;$&quot;* &quot;-&quot;??_-;_-@_-"/>
    <numFmt numFmtId="167" formatCode="yyyy\-mm\-dd;@"/>
    <numFmt numFmtId="168" formatCode="d"/>
    <numFmt numFmtId="169" formatCode="#,##0.0000_);[Red]\(#,##0.0000\)"/>
    <numFmt numFmtId="170" formatCode="#,##0.0000;[Red]\-#,##0.0000"/>
    <numFmt numFmtId="171" formatCode="[$-1009]d\-mmm\-yy;@"/>
    <numFmt numFmtId="172" formatCode="_-* #,##0.00_-;\-* #,##0.00_-;_-* &quot;-&quot;??_-;_-@_-"/>
    <numFmt numFmtId="173" formatCode="_-&quot;$&quot;* #,##0.00_-;\-&quot;$&quot;* #,##0.00_-;_-&quot;$&quot;* &quot;-&quot;??_-;_-@_-"/>
    <numFmt numFmtId="174" formatCode="yyyy/m/d;@"/>
  </numFmts>
  <fonts count="48">
    <font>
      <name val="Calibri"/>
      <family val="2"/>
      <sz val="11"/>
    </font>
    <font>
      <name val="Calibri"/>
      <family val="1"/>
      <sz val="11"/>
    </font>
    <font>
      <name val="Calibri"/>
      <family val="2"/>
      <color indexed="12"/>
      <sz val="11"/>
      <u val="single"/>
    </font>
    <font>
      <name val="Calibri"/>
      <family val="2"/>
      <sz val="11"/>
    </font>
    <font>
      <name val="Arial"/>
      <family val="2"/>
      <sz val="12"/>
    </font>
    <font>
      <name val="Arial"/>
      <family val="2"/>
      <sz val="11"/>
    </font>
    <font>
      <name val="Calibri"/>
      <family val="2"/>
      <color theme="1"/>
      <sz val="11"/>
      <scheme val="minor"/>
    </font>
    <font>
      <name val="Calibri"/>
      <family val="2"/>
      <color theme="11"/>
      <sz val="11"/>
      <u val="single"/>
    </font>
    <font>
      <name val="Arial"/>
      <charset val="136"/>
      <family val="1"/>
      <b val="1"/>
      <color indexed="62"/>
      <sz val="11"/>
    </font>
    <font>
      <name val="Arial"/>
      <charset val="128"/>
      <family val="2"/>
      <sz val="11"/>
    </font>
    <font>
      <name val="Arial"/>
      <charset val="136"/>
      <family val="1"/>
      <b val="1"/>
      <color indexed="10"/>
      <sz val="10"/>
    </font>
    <font>
      <name val="Arial"/>
      <charset val="136"/>
      <family val="1"/>
      <b val="1"/>
      <color indexed="9"/>
      <sz val="12"/>
    </font>
    <font>
      <name val="Arial"/>
      <charset val="136"/>
      <family val="1"/>
      <b val="1"/>
      <color indexed="12"/>
      <sz val="10"/>
    </font>
    <font>
      <name val="Arial"/>
      <charset val="136"/>
      <family val="1"/>
      <sz val="10"/>
    </font>
    <font>
      <name val="Arial"/>
      <charset val="136"/>
      <family val="1"/>
      <b val="1"/>
      <color indexed="12"/>
      <sz val="12"/>
    </font>
    <font>
      <name val="Arial"/>
      <charset val="136"/>
      <family val="1"/>
      <b val="1"/>
      <sz val="12"/>
    </font>
    <font>
      <name val="Arial"/>
      <charset val="136"/>
      <family val="1"/>
      <color indexed="9"/>
      <sz val="10"/>
    </font>
    <font>
      <name val="Arial"/>
      <charset val="128"/>
      <family val="2"/>
      <color indexed="9"/>
      <sz val="11"/>
      <u val="single"/>
    </font>
    <font>
      <name val="Arial"/>
      <charset val="136"/>
      <family val="1"/>
      <b val="1"/>
      <color indexed="9"/>
      <sz val="10"/>
    </font>
    <font>
      <name val="Arial"/>
      <charset val="136"/>
      <family val="1"/>
      <sz val="12"/>
    </font>
    <font>
      <name val="Arial"/>
      <b val="1"/>
      <color rgb="FFFF0000"/>
      <sz val="10"/>
    </font>
    <font>
      <name val="Arial"/>
      <charset val="136"/>
      <family val="1"/>
      <color indexed="9"/>
      <sz val="11"/>
    </font>
    <font>
      <name val="Arial"/>
      <charset val="136"/>
      <family val="1"/>
      <sz val="20"/>
    </font>
    <font>
      <name val="Arial"/>
      <charset val="136"/>
      <family val="1"/>
      <color indexed="9"/>
      <sz val="12"/>
    </font>
    <font>
      <name val="Arial"/>
      <charset val="136"/>
      <family val="1"/>
      <b val="1"/>
      <color indexed="10"/>
      <sz val="12"/>
    </font>
    <font>
      <name val="Arial"/>
      <charset val="128"/>
      <family val="2"/>
      <color indexed="12"/>
      <sz val="11"/>
      <u val="single"/>
    </font>
    <font>
      <name val="Arial"/>
      <charset val="136"/>
      <family val="1"/>
      <i val="1"/>
      <color indexed="12"/>
      <sz val="10"/>
    </font>
    <font>
      <name val="Arial"/>
      <charset val="136"/>
      <family val="1"/>
      <sz val="11"/>
    </font>
    <font>
      <name val="Arial"/>
      <charset val="136"/>
      <family val="1"/>
      <b val="1"/>
      <sz val="14"/>
    </font>
    <font>
      <name val="Arial"/>
      <charset val="134"/>
      <family val="3"/>
      <sz val="11"/>
    </font>
    <font>
      <name val="Arial"/>
      <charset val="134"/>
      <family val="3"/>
      <sz val="12"/>
    </font>
    <font>
      <name val="Arial"/>
      <charset val="136"/>
      <family val="1"/>
      <sz val="16"/>
    </font>
    <font>
      <name val="Arial"/>
      <charset val="134"/>
      <family val="3"/>
      <b val="1"/>
      <color indexed="10"/>
      <sz val="10"/>
    </font>
    <font>
      <name val="Calibri"/>
      <family val="2"/>
      <b val="1"/>
      <color theme="1"/>
      <sz val="11"/>
      <scheme val="minor"/>
    </font>
    <font>
      <name val="Calibri"/>
      <family val="2"/>
      <color theme="1"/>
      <sz val="11"/>
      <scheme val="minor"/>
    </font>
    <font>
      <name val="Arial"/>
      <charset val="128"/>
      <family val="2"/>
      <color rgb="FFFF0000"/>
      <sz val="11"/>
    </font>
    <font>
      <name val="Arial"/>
      <sz val="11"/>
    </font>
    <font>
      <name val="Arial"/>
      <b val="1"/>
      <sz val="11"/>
    </font>
    <font>
      <name val="Arial"/>
      <charset val="136"/>
      <family val="1"/>
      <b val="1"/>
      <color indexed="9"/>
      <sz val="11"/>
    </font>
    <font>
      <name val="Arial"/>
      <charset val="136"/>
      <family val="1"/>
      <b val="1"/>
      <color indexed="10"/>
      <sz val="11"/>
    </font>
    <font>
      <name val="Arial"/>
      <charset val="136"/>
      <family val="1"/>
      <b val="1"/>
      <sz val="11"/>
    </font>
    <font>
      <name val="Arial"/>
      <charset val="136"/>
      <family val="1"/>
      <color indexed="10"/>
      <sz val="11"/>
    </font>
    <font>
      <name val="Arial"/>
      <charset val="136"/>
      <family val="1"/>
      <color indexed="12"/>
      <sz val="11"/>
    </font>
    <font>
      <name val="Arial"/>
      <charset val="134"/>
      <family val="3"/>
      <color indexed="10"/>
      <sz val="11"/>
    </font>
    <font>
      <name val="Arial"/>
      <b val="1"/>
      <color rgb="00FFFFFF"/>
      <sz val="14"/>
    </font>
    <font>
      <name val="Arial"/>
      <b val="1"/>
      <color rgb="001F4E79"/>
      <sz val="10"/>
    </font>
    <font>
      <name val="Arial"/>
      <b val="1"/>
      <color rgb="001F4E79"/>
      <sz val="11"/>
    </font>
    <font>
      <name val="Calibri"/>
      <b val="1"/>
      <sz val="11"/>
    </font>
  </fonts>
  <fills count="15">
    <fill>
      <patternFill/>
    </fill>
    <fill>
      <patternFill patternType="gray125"/>
    </fill>
    <fill>
      <patternFill patternType="solid">
        <fgColor indexed="62"/>
        <bgColor indexed="64"/>
      </patternFill>
    </fill>
    <fill>
      <patternFill patternType="solid">
        <fgColor indexed="44"/>
        <bgColor indexed="64"/>
      </patternFill>
    </fill>
    <fill>
      <patternFill patternType="solid">
        <fgColor indexed="47"/>
        <bgColor indexed="64"/>
      </patternFill>
    </fill>
    <fill>
      <patternFill patternType="solid">
        <fgColor indexed="22"/>
        <bgColor indexed="64"/>
      </patternFill>
    </fill>
    <fill>
      <patternFill patternType="solid">
        <fgColor indexed="41"/>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5" tint="0.7999816888943144"/>
        <bgColor indexed="64"/>
      </patternFill>
    </fill>
    <fill>
      <patternFill patternType="solid">
        <fgColor rgb="FFF2DCDB"/>
        <bgColor rgb="FF000000"/>
      </patternFill>
    </fill>
    <fill>
      <patternFill patternType="solid">
        <fgColor rgb="001F4E79"/>
      </patternFill>
    </fill>
    <fill>
      <patternFill patternType="solid">
        <fgColor rgb="00D6E3F0"/>
      </patternFill>
    </fill>
    <fill>
      <patternFill patternType="solid">
        <fgColor rgb="00FFF2CC"/>
      </patternFill>
    </fill>
  </fills>
  <borders count="135">
    <border>
      <left/>
      <right/>
      <top/>
      <bottom/>
      <diagonal/>
    </border>
    <border>
      <left/>
      <right/>
      <top style="medium">
        <color indexed="62"/>
      </top>
      <bottom style="medium">
        <color indexed="62"/>
      </bottom>
      <diagonal/>
    </border>
    <border>
      <left/>
      <right style="thin">
        <color indexed="62"/>
      </right>
      <top style="medium">
        <color indexed="62"/>
      </top>
      <bottom style="medium">
        <color indexed="62"/>
      </bottom>
      <diagonal/>
    </border>
    <border>
      <left/>
      <right style="medium">
        <color indexed="62"/>
      </right>
      <top style="medium">
        <color indexed="62"/>
      </top>
      <bottom style="medium">
        <color indexed="62"/>
      </bottom>
      <diagonal/>
    </border>
    <border>
      <left style="medium">
        <color indexed="62"/>
      </left>
      <right style="medium">
        <color indexed="62"/>
      </right>
      <top style="medium">
        <color indexed="62"/>
      </top>
      <bottom style="thin">
        <color indexed="62"/>
      </bottom>
      <diagonal/>
    </border>
    <border>
      <left style="medium">
        <color indexed="62"/>
      </left>
      <right style="medium">
        <color indexed="62"/>
      </right>
      <top/>
      <bottom/>
      <diagonal/>
    </border>
    <border>
      <left style="medium">
        <color indexed="54"/>
      </left>
      <right style="dashed">
        <color indexed="54"/>
      </right>
      <top style="medium">
        <color indexed="54"/>
      </top>
      <bottom style="dashed">
        <color indexed="54"/>
      </bottom>
      <diagonal/>
    </border>
    <border>
      <left style="dashed">
        <color indexed="54"/>
      </left>
      <right style="dashed">
        <color indexed="54"/>
      </right>
      <top style="medium">
        <color indexed="54"/>
      </top>
      <bottom style="dashed">
        <color indexed="54"/>
      </bottom>
      <diagonal/>
    </border>
    <border>
      <left style="dashed">
        <color indexed="54"/>
      </left>
      <right style="medium">
        <color indexed="54"/>
      </right>
      <top style="medium">
        <color indexed="54"/>
      </top>
      <bottom style="dashed">
        <color indexed="54"/>
      </bottom>
      <diagonal/>
    </border>
    <border>
      <left style="medium">
        <color indexed="62"/>
      </left>
      <right style="dashed">
        <color indexed="62"/>
      </right>
      <top style="medium">
        <color indexed="62"/>
      </top>
      <bottom style="dashed">
        <color indexed="62"/>
      </bottom>
      <diagonal/>
    </border>
    <border>
      <left style="dashed">
        <color indexed="62"/>
      </left>
      <right style="medium">
        <color indexed="62"/>
      </right>
      <top style="medium">
        <color indexed="62"/>
      </top>
      <bottom style="dashed">
        <color indexed="62"/>
      </bottom>
      <diagonal/>
    </border>
    <border>
      <left style="medium">
        <color indexed="54"/>
      </left>
      <right style="dashed">
        <color indexed="54"/>
      </right>
      <top/>
      <bottom style="dashed">
        <color indexed="54"/>
      </bottom>
      <diagonal/>
    </border>
    <border>
      <left style="medium">
        <color indexed="62"/>
      </left>
      <right style="dashed">
        <color indexed="62"/>
      </right>
      <top style="dashed">
        <color indexed="62"/>
      </top>
      <bottom style="dashed">
        <color indexed="62"/>
      </bottom>
      <diagonal/>
    </border>
    <border>
      <left style="medium">
        <color indexed="54"/>
      </left>
      <right style="dashed">
        <color indexed="54"/>
      </right>
      <top style="dashed">
        <color indexed="54"/>
      </top>
      <bottom style="hair">
        <color indexed="54"/>
      </bottom>
      <diagonal/>
    </border>
    <border>
      <left style="medium">
        <color indexed="54"/>
      </left>
      <right style="hair">
        <color indexed="54"/>
      </right>
      <top style="hair">
        <color indexed="54"/>
      </top>
      <bottom style="medium">
        <color indexed="54"/>
      </bottom>
      <diagonal/>
    </border>
    <border>
      <left style="medium">
        <color indexed="62"/>
      </left>
      <right style="dashed">
        <color indexed="62"/>
      </right>
      <top style="dashed">
        <color indexed="62"/>
      </top>
      <bottom style="medium">
        <color indexed="62"/>
      </bottom>
      <diagonal/>
    </border>
    <border>
      <left style="dashed">
        <color indexed="62"/>
      </left>
      <right style="dashed">
        <color indexed="62"/>
      </right>
      <top style="medium">
        <color indexed="62"/>
      </top>
      <bottom style="dashed">
        <color indexed="62"/>
      </bottom>
      <diagonal/>
    </border>
    <border>
      <left style="medium">
        <color indexed="62"/>
      </left>
      <right style="medium">
        <color indexed="62"/>
      </right>
      <top style="double">
        <color indexed="62"/>
      </top>
      <bottom style="double">
        <color indexed="62"/>
      </bottom>
      <diagonal/>
    </border>
    <border>
      <left style="medium">
        <color indexed="62"/>
      </left>
      <right style="medium">
        <color indexed="62"/>
      </right>
      <top/>
      <bottom style="dashed">
        <color indexed="62"/>
      </bottom>
      <diagonal/>
    </border>
    <border>
      <left style="medium">
        <color indexed="62"/>
      </left>
      <right style="medium">
        <color indexed="62"/>
      </right>
      <top style="dashed">
        <color indexed="62"/>
      </top>
      <bottom style="dashed">
        <color indexed="62"/>
      </bottom>
      <diagonal/>
    </border>
    <border>
      <left style="medium">
        <color indexed="62"/>
      </left>
      <right style="medium">
        <color indexed="62"/>
      </right>
      <top style="medium">
        <color indexed="62"/>
      </top>
      <bottom style="medium">
        <color indexed="62"/>
      </bottom>
      <diagonal/>
    </border>
    <border>
      <left style="thin">
        <color indexed="62"/>
      </left>
      <right style="dashed">
        <color indexed="62"/>
      </right>
      <top style="medium">
        <color indexed="62"/>
      </top>
      <bottom style="thin">
        <color indexed="62"/>
      </bottom>
      <diagonal/>
    </border>
    <border>
      <left style="dashed">
        <color indexed="62"/>
      </left>
      <right style="medium">
        <color indexed="62"/>
      </right>
      <top style="medium">
        <color indexed="62"/>
      </top>
      <bottom style="thin">
        <color indexed="62"/>
      </bottom>
      <diagonal/>
    </border>
    <border>
      <left style="dashed">
        <color indexed="62"/>
      </left>
      <right style="thin">
        <color indexed="62"/>
      </right>
      <top style="medium">
        <color indexed="62"/>
      </top>
      <bottom style="thin">
        <color indexed="62"/>
      </bottom>
      <diagonal/>
    </border>
    <border>
      <left style="thin">
        <color indexed="62"/>
      </left>
      <right/>
      <top style="medium">
        <color indexed="62"/>
      </top>
      <bottom style="medium">
        <color indexed="62"/>
      </bottom>
      <diagonal/>
    </border>
    <border>
      <left style="medium">
        <color indexed="62"/>
      </left>
      <right style="dashed">
        <color indexed="62"/>
      </right>
      <top style="medium">
        <color indexed="62"/>
      </top>
      <bottom style="thin">
        <color indexed="62"/>
      </bottom>
      <diagonal/>
    </border>
    <border>
      <left style="medium">
        <color indexed="62"/>
      </left>
      <right style="medium">
        <color indexed="62"/>
      </right>
      <top style="medium">
        <color indexed="62"/>
      </top>
      <bottom/>
      <diagonal/>
    </border>
    <border>
      <left style="medium">
        <color indexed="62"/>
      </left>
      <right style="medium">
        <color indexed="62"/>
      </right>
      <top style="medium">
        <color indexed="62"/>
      </top>
      <bottom style="hair">
        <color indexed="62"/>
      </bottom>
      <diagonal/>
    </border>
    <border>
      <left style="medium">
        <color indexed="62"/>
      </left>
      <right style="medium">
        <color indexed="62"/>
      </right>
      <top style="hair">
        <color indexed="62"/>
      </top>
      <bottom style="medium">
        <color indexed="62"/>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medium">
        <color auto="1"/>
      </left>
      <right style="medium">
        <color auto="1"/>
      </right>
      <top/>
      <bottom style="medium">
        <color auto="1"/>
      </bottom>
      <diagonal/>
    </border>
    <border>
      <left/>
      <right style="thin">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indexed="62"/>
      </left>
      <right style="dashed">
        <color indexed="62"/>
      </right>
      <top style="thin">
        <color indexed="62"/>
      </top>
      <bottom style="dashed">
        <color indexed="62"/>
      </bottom>
      <diagonal/>
    </border>
    <border>
      <left style="dashed">
        <color indexed="62"/>
      </left>
      <right style="thin">
        <color indexed="62"/>
      </right>
      <top style="thin">
        <color indexed="62"/>
      </top>
      <bottom style="dashed">
        <color indexed="62"/>
      </bottom>
      <diagonal/>
    </border>
    <border>
      <left style="thin">
        <color indexed="62"/>
      </left>
      <right style="dashed">
        <color indexed="62"/>
      </right>
      <top style="thin">
        <color indexed="62"/>
      </top>
      <bottom style="dashed">
        <color indexed="62"/>
      </bottom>
      <diagonal/>
    </border>
    <border>
      <left style="dashed">
        <color indexed="62"/>
      </left>
      <right style="medium">
        <color indexed="62"/>
      </right>
      <top style="thin">
        <color indexed="62"/>
      </top>
      <bottom style="dashed">
        <color indexed="62"/>
      </bottom>
      <diagonal/>
    </border>
    <border>
      <left style="dashed">
        <color indexed="62"/>
      </left>
      <right style="thin">
        <color indexed="62"/>
      </right>
      <top style="dashed">
        <color indexed="62"/>
      </top>
      <bottom style="dashed">
        <color indexed="62"/>
      </bottom>
      <diagonal/>
    </border>
    <border>
      <left style="thin">
        <color indexed="62"/>
      </left>
      <right style="dashed">
        <color indexed="62"/>
      </right>
      <top style="dashed">
        <color indexed="62"/>
      </top>
      <bottom style="dashed">
        <color indexed="62"/>
      </bottom>
      <diagonal/>
    </border>
    <border>
      <left style="dashed">
        <color indexed="62"/>
      </left>
      <right style="medium">
        <color indexed="62"/>
      </right>
      <top style="dashed">
        <color indexed="62"/>
      </top>
      <bottom style="dashed">
        <color indexed="62"/>
      </bottom>
      <diagonal/>
    </border>
    <border>
      <left style="dashed">
        <color indexed="54"/>
      </left>
      <right style="dashed">
        <color indexed="54"/>
      </right>
      <top/>
      <bottom style="dashed">
        <color indexed="54"/>
      </bottom>
      <diagonal/>
    </border>
    <border>
      <left style="dashed">
        <color indexed="54"/>
      </left>
      <right style="medium">
        <color indexed="54"/>
      </right>
      <top/>
      <bottom style="dashed">
        <color indexed="54"/>
      </bottom>
      <diagonal/>
    </border>
    <border>
      <left style="dashed">
        <color indexed="54"/>
      </left>
      <right style="dashed">
        <color indexed="54"/>
      </right>
      <top style="dashed">
        <color indexed="54"/>
      </top>
      <bottom style="dashed">
        <color indexed="54"/>
      </bottom>
      <diagonal/>
    </border>
    <border>
      <left style="dashed">
        <color indexed="54"/>
      </left>
      <right style="medium">
        <color indexed="54"/>
      </right>
      <top style="dashed">
        <color indexed="54"/>
      </top>
      <bottom style="dashed">
        <color indexed="54"/>
      </bottom>
      <diagonal/>
    </border>
    <border>
      <left style="dashed">
        <color indexed="54"/>
      </left>
      <right style="dashed">
        <color indexed="54"/>
      </right>
      <top style="dashed">
        <color indexed="54"/>
      </top>
      <bottom style="hair">
        <color indexed="54"/>
      </bottom>
      <diagonal/>
    </border>
    <border>
      <left style="dashed">
        <color indexed="54"/>
      </left>
      <right style="medium">
        <color indexed="54"/>
      </right>
      <top style="dashed">
        <color indexed="54"/>
      </top>
      <bottom style="hair">
        <color indexed="54"/>
      </bottom>
      <diagonal/>
    </border>
    <border>
      <left style="dashed">
        <color indexed="62"/>
      </left>
      <right style="dashed">
        <color indexed="62"/>
      </right>
      <top style="dashed">
        <color indexed="62"/>
      </top>
      <bottom style="medium">
        <color indexed="62"/>
      </bottom>
      <diagonal/>
    </border>
    <border>
      <left style="hair">
        <color indexed="54"/>
      </left>
      <right style="medium">
        <color indexed="54"/>
      </right>
      <top style="hair">
        <color indexed="54"/>
      </top>
      <bottom style="medium">
        <color indexed="54"/>
      </bottom>
      <diagonal/>
    </border>
    <border>
      <left style="dashed">
        <color indexed="62"/>
      </left>
      <right style="dashed">
        <color indexed="62"/>
      </right>
      <top style="dashed">
        <color indexed="62"/>
      </top>
      <bottom style="dashed">
        <color indexed="62"/>
      </bottom>
      <diagonal/>
    </border>
    <border>
      <left style="medium">
        <color indexed="62"/>
      </left>
      <right style="dashed">
        <color indexed="62"/>
      </right>
      <top style="dashed">
        <color indexed="62"/>
      </top>
      <bottom/>
      <diagonal/>
    </border>
    <border>
      <left style="dashed">
        <color indexed="62"/>
      </left>
      <right style="thin">
        <color indexed="62"/>
      </right>
      <top style="dashed">
        <color indexed="62"/>
      </top>
      <bottom/>
      <diagonal/>
    </border>
    <border>
      <left style="thin">
        <color indexed="62"/>
      </left>
      <right style="dashed">
        <color indexed="62"/>
      </right>
      <top style="dashed">
        <color indexed="62"/>
      </top>
      <bottom/>
      <diagonal/>
    </border>
    <border>
      <left style="dashed">
        <color indexed="62"/>
      </left>
      <right style="medium">
        <color indexed="62"/>
      </right>
      <top style="dashed">
        <color indexed="62"/>
      </top>
      <bottom/>
      <diagonal/>
    </border>
    <border>
      <left style="medium">
        <color indexed="62"/>
      </left>
      <right style="dashed">
        <color indexed="62"/>
      </right>
      <top style="double">
        <color indexed="62"/>
      </top>
      <bottom style="double">
        <color indexed="62"/>
      </bottom>
      <diagonal/>
    </border>
    <border>
      <left style="dashed">
        <color indexed="62"/>
      </left>
      <right style="thin">
        <color indexed="62"/>
      </right>
      <top style="double">
        <color indexed="62"/>
      </top>
      <bottom style="double">
        <color indexed="62"/>
      </bottom>
      <diagonal/>
    </border>
    <border>
      <left style="thin">
        <color indexed="62"/>
      </left>
      <right style="dashed">
        <color indexed="62"/>
      </right>
      <top style="double">
        <color indexed="62"/>
      </top>
      <bottom style="double">
        <color indexed="62"/>
      </bottom>
      <diagonal/>
    </border>
    <border>
      <left style="dashed">
        <color indexed="62"/>
      </left>
      <right style="medium">
        <color indexed="62"/>
      </right>
      <top style="double">
        <color indexed="62"/>
      </top>
      <bottom style="double">
        <color indexed="62"/>
      </bottom>
      <diagonal/>
    </border>
    <border>
      <left style="medium">
        <color indexed="62"/>
      </left>
      <right style="dashed">
        <color indexed="62"/>
      </right>
      <top/>
      <bottom style="dashed">
        <color indexed="62"/>
      </bottom>
      <diagonal/>
    </border>
    <border>
      <left style="dashed">
        <color indexed="62"/>
      </left>
      <right style="thin">
        <color indexed="62"/>
      </right>
      <top/>
      <bottom style="dashed">
        <color indexed="62"/>
      </bottom>
      <diagonal/>
    </border>
    <border>
      <left style="thin">
        <color indexed="62"/>
      </left>
      <right style="dashed">
        <color indexed="62"/>
      </right>
      <top/>
      <bottom style="dashed">
        <color indexed="62"/>
      </bottom>
      <diagonal/>
    </border>
    <border>
      <left style="dashed">
        <color indexed="62"/>
      </left>
      <right style="medium">
        <color indexed="62"/>
      </right>
      <top/>
      <bottom style="dashed">
        <color indexed="62"/>
      </bottom>
      <diagonal/>
    </border>
    <border>
      <left style="dashed">
        <color indexed="62"/>
      </left>
      <right style="medium">
        <color indexed="62"/>
      </right>
      <top style="dashed">
        <color indexed="62"/>
      </top>
      <bottom style="medium">
        <color indexed="62"/>
      </bottom>
      <diagonal/>
    </border>
    <border>
      <left style="thin">
        <color indexed="62"/>
      </left>
      <right style="dashed">
        <color indexed="62"/>
      </right>
      <top style="dashed">
        <color indexed="62"/>
      </top>
      <bottom style="thin">
        <color indexed="62"/>
      </bottom>
      <diagonal/>
    </border>
    <border>
      <left style="dashed">
        <color indexed="62"/>
      </left>
      <right style="thin">
        <color indexed="62"/>
      </right>
      <top style="dashed">
        <color indexed="62"/>
      </top>
      <bottom style="thin">
        <color indexed="62"/>
      </bottom>
      <diagonal/>
    </border>
    <border>
      <left style="thin">
        <color indexed="62"/>
      </left>
      <right style="dashed">
        <color indexed="62"/>
      </right>
      <top style="thin">
        <color indexed="62"/>
      </top>
      <bottom/>
      <diagonal/>
    </border>
    <border>
      <left style="dashed">
        <color indexed="62"/>
      </left>
      <right style="thin">
        <color indexed="62"/>
      </right>
      <top style="thin">
        <color indexed="62"/>
      </top>
      <bottom/>
      <diagonal/>
    </border>
    <border>
      <left style="medium">
        <color indexed="62"/>
      </left>
      <right style="dashed">
        <color indexed="62"/>
      </right>
      <top/>
      <bottom/>
      <diagonal/>
    </border>
    <border>
      <left style="dashed">
        <color indexed="62"/>
      </left>
      <right style="thin">
        <color indexed="62"/>
      </right>
      <top/>
      <bottom/>
      <diagonal/>
    </border>
    <border>
      <left style="thin">
        <color indexed="62"/>
      </left>
      <right style="dashed">
        <color indexed="62"/>
      </right>
      <top/>
      <bottom/>
      <diagonal/>
    </border>
    <border>
      <left style="dashed">
        <color indexed="62"/>
      </left>
      <right style="medium">
        <color indexed="62"/>
      </right>
      <top/>
      <bottom/>
      <diagonal/>
    </border>
    <border>
      <left style="medium">
        <color indexed="62"/>
      </left>
      <right style="dashed">
        <color indexed="62"/>
      </right>
      <top style="medium">
        <color indexed="62"/>
      </top>
      <bottom style="medium">
        <color indexed="62"/>
      </bottom>
      <diagonal/>
    </border>
    <border>
      <left style="dashed">
        <color indexed="62"/>
      </left>
      <right style="thin">
        <color indexed="62"/>
      </right>
      <top style="medium">
        <color indexed="62"/>
      </top>
      <bottom style="medium">
        <color indexed="62"/>
      </bottom>
      <diagonal/>
    </border>
    <border>
      <left style="thin">
        <color indexed="62"/>
      </left>
      <right style="dashed">
        <color indexed="62"/>
      </right>
      <top style="medium">
        <color indexed="62"/>
      </top>
      <bottom style="medium">
        <color indexed="62"/>
      </bottom>
      <diagonal/>
    </border>
    <border>
      <left/>
      <right style="medium">
        <color indexed="62"/>
      </right>
      <top style="medium">
        <color indexed="62"/>
      </top>
      <bottom/>
      <diagonal/>
    </border>
    <border>
      <left style="medium">
        <color indexed="62"/>
      </left>
      <right style="dashed">
        <color indexed="54"/>
      </right>
      <top style="dashed">
        <color indexed="54"/>
      </top>
      <bottom style="dashed">
        <color indexed="54"/>
      </bottom>
      <diagonal/>
    </border>
    <border>
      <left/>
      <right/>
      <top style="medium">
        <color auto="1"/>
      </top>
      <bottom style="medium">
        <color auto="1"/>
      </bottom>
      <diagonal/>
    </border>
    <border>
      <left/>
      <right style="medium">
        <color auto="1"/>
      </right>
      <top style="medium">
        <color auto="1"/>
      </top>
      <bottom style="medium">
        <color auto="1"/>
      </bottom>
      <diagonal/>
    </border>
    <border>
      <left style="hair">
        <color indexed="62"/>
      </left>
      <right style="hair">
        <color indexed="62"/>
      </right>
      <top style="hair">
        <color indexed="62"/>
      </top>
      <bottom style="medium">
        <color indexed="62"/>
      </bottom>
      <diagonal/>
    </border>
    <border>
      <left style="hair">
        <color indexed="62"/>
      </left>
      <right style="hair">
        <color indexed="62"/>
      </right>
      <top style="medium">
        <color indexed="62"/>
      </top>
      <bottom style="hair">
        <color indexed="62"/>
      </bottom>
      <diagonal/>
    </border>
    <border>
      <left/>
      <right style="hair">
        <color indexed="62"/>
      </right>
      <top style="hair">
        <color indexed="62"/>
      </top>
      <bottom style="medium">
        <color indexed="62"/>
      </bottom>
      <diagonal/>
    </border>
    <border>
      <left/>
      <right style="hair">
        <color indexed="62"/>
      </right>
      <top style="medium">
        <color indexed="62"/>
      </top>
      <bottom style="hair">
        <color indexed="62"/>
      </bottom>
      <diagonal/>
    </border>
    <border>
      <left style="medium">
        <color indexed="62"/>
      </left>
      <right/>
      <top/>
      <bottom style="medium">
        <color indexed="62"/>
      </bottom>
      <diagonal/>
    </border>
    <border>
      <left/>
      <right style="medium">
        <color indexed="62"/>
      </right>
      <top/>
      <bottom style="medium">
        <color indexed="62"/>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style="medium">
        <color indexed="18"/>
      </right>
      <top/>
      <bottom style="medium">
        <color indexed="18"/>
      </bottom>
      <diagonal/>
    </border>
    <border>
      <left style="medium">
        <color auto="1"/>
      </left>
      <right style="thin">
        <color auto="1"/>
      </right>
      <top/>
      <bottom style="medium">
        <color auto="1"/>
      </bottom>
      <diagonal/>
    </border>
    <border>
      <left style="medium">
        <color auto="1"/>
      </left>
      <right style="thin">
        <color auto="1"/>
      </right>
      <top/>
      <bottom/>
      <diagonal/>
    </border>
    <border>
      <left style="dashed">
        <color rgb="FF333399"/>
      </left>
      <right style="thin">
        <color rgb="FF333399"/>
      </right>
      <top/>
      <bottom style="dashed">
        <color rgb="FF333399"/>
      </bottom>
      <diagonal/>
    </border>
    <border>
      <left style="dashed">
        <color rgb="FF333399"/>
      </left>
      <right style="medium">
        <color rgb="FF333399"/>
      </right>
      <top/>
      <bottom style="dashed">
        <color rgb="FF333399"/>
      </bottom>
      <diagonal/>
    </border>
    <border>
      <left style="medium">
        <color indexed="64"/>
      </left>
      <right style="medium">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18"/>
      </left>
      <right style="medium">
        <color indexed="18"/>
      </right>
      <top style="medium">
        <color indexed="18"/>
      </top>
      <bottom style="medium">
        <color indexed="18"/>
      </bottom>
      <diagonal/>
    </border>
    <border>
      <left/>
      <right style="thin">
        <color auto="1"/>
      </right>
      <top/>
      <bottom/>
      <diagonal/>
    </border>
    <border>
      <left/>
      <right style="thin">
        <color auto="1"/>
      </right>
      <top style="medium">
        <color auto="1"/>
      </top>
      <bottom/>
      <diagonal/>
    </border>
    <border>
      <left/>
      <right/>
      <top style="hair">
        <color indexed="62"/>
      </top>
      <bottom/>
      <diagonal/>
    </border>
    <border>
      <left/>
      <right style="hair">
        <color indexed="62"/>
      </right>
      <top style="hair">
        <color indexed="62"/>
      </top>
      <bottom/>
      <diagonal/>
    </border>
    <border>
      <left/>
      <right/>
      <top style="medium">
        <color indexed="62"/>
      </top>
      <bottom/>
      <diagonal/>
    </border>
    <border>
      <left/>
      <right style="hair">
        <color indexed="62"/>
      </right>
      <top style="medium">
        <color indexed="62"/>
      </top>
      <bottom/>
      <diagonal/>
    </border>
    <border>
      <left style="medium">
        <color indexed="62"/>
      </left>
      <right/>
      <top/>
      <bottom/>
      <diagonal/>
    </border>
    <border>
      <left/>
      <right style="medium">
        <color indexed="62"/>
      </right>
      <top/>
      <bottom/>
      <diagonal/>
    </border>
    <border>
      <left/>
      <right/>
      <top style="medium">
        <color indexed="18"/>
      </top>
      <bottom/>
      <diagonal/>
    </border>
    <border>
      <left style="thin">
        <color rgb="008FA8C4"/>
      </left>
      <right style="thin">
        <color rgb="008FA8C4"/>
      </right>
      <top style="thin">
        <color rgb="008FA8C4"/>
      </top>
      <bottom style="thin">
        <color rgb="008FA8C4"/>
      </bottom>
    </border>
    <border>
      <left/>
      <right/>
      <top style="thin">
        <color rgb="008FA8C4"/>
      </top>
      <bottom/>
      <diagonal/>
    </border>
    <border>
      <left/>
      <right style="thin">
        <color rgb="008FA8C4"/>
      </right>
      <top style="thin">
        <color rgb="008FA8C4"/>
      </top>
      <bottom/>
      <diagonal/>
    </border>
    <border>
      <left/>
      <right/>
      <top style="thin">
        <color rgb="008FA8C4"/>
      </top>
      <bottom style="thin">
        <color rgb="008FA8C4"/>
      </bottom>
      <diagonal/>
    </border>
    <border>
      <left/>
      <right style="thin">
        <color rgb="008FA8C4"/>
      </right>
      <top style="thin">
        <color rgb="008FA8C4"/>
      </top>
      <bottom style="thin">
        <color rgb="008FA8C4"/>
      </bottom>
      <diagonal/>
    </border>
  </borders>
  <cellStyleXfs count="7">
    <xf numFmtId="0" fontId="3" fillId="0" borderId="0" applyAlignment="1">
      <alignment vertical="center"/>
    </xf>
    <xf numFmtId="0" fontId="2" fillId="0" borderId="0" applyAlignment="1" applyProtection="1">
      <alignment vertical="top"/>
      <protection locked="0" hidden="0"/>
    </xf>
    <xf numFmtId="40" fontId="3" fillId="0" borderId="0" applyAlignment="1">
      <alignment vertical="center"/>
    </xf>
    <xf numFmtId="38" fontId="3" fillId="0" borderId="0" applyAlignment="1">
      <alignment vertical="center"/>
    </xf>
    <xf numFmtId="0" fontId="34" fillId="0" borderId="0"/>
    <xf numFmtId="172" fontId="34" fillId="0" borderId="0"/>
    <xf numFmtId="0" fontId="7" fillId="0" borderId="0" applyAlignment="1">
      <alignment vertical="center"/>
    </xf>
  </cellStyleXfs>
  <cellXfs count="467">
    <xf numFmtId="0" fontId="0" fillId="0" borderId="0" applyAlignment="1" pivotButton="0" quotePrefix="0" xfId="0">
      <alignment vertical="center"/>
    </xf>
    <xf numFmtId="38" fontId="1" fillId="0" borderId="0" applyAlignment="1" pivotButton="0" quotePrefix="0" xfId="3">
      <alignment vertical="center"/>
    </xf>
    <xf numFmtId="0" fontId="1" fillId="0" borderId="0" applyAlignment="1" pivotButton="0" quotePrefix="0" xfId="0">
      <alignment vertical="center"/>
    </xf>
    <xf numFmtId="0" fontId="1" fillId="0" borderId="0" applyAlignment="1" pivotButton="0" quotePrefix="0" xfId="0">
      <alignment horizontal="center" vertical="center"/>
    </xf>
    <xf numFmtId="38" fontId="1" fillId="0" borderId="0" applyAlignment="1" pivotButton="0" quotePrefix="0" xfId="2">
      <alignment vertical="center"/>
    </xf>
    <xf numFmtId="38" fontId="4" fillId="0" borderId="57" applyAlignment="1" applyProtection="1" pivotButton="0" quotePrefix="0" xfId="2">
      <alignment vertical="center"/>
      <protection locked="0" hidden="0"/>
    </xf>
    <xf numFmtId="38" fontId="4" fillId="0" borderId="58" applyAlignment="1" applyProtection="1" pivotButton="0" quotePrefix="0" xfId="2">
      <alignment vertical="center"/>
      <protection locked="0" hidden="0"/>
    </xf>
    <xf numFmtId="38" fontId="4" fillId="0" borderId="59" applyAlignment="1" applyProtection="1" pivotButton="0" quotePrefix="0" xfId="2">
      <alignment vertical="center"/>
      <protection locked="0" hidden="0"/>
    </xf>
    <xf numFmtId="38" fontId="4" fillId="0" borderId="60" applyAlignment="1" applyProtection="1" pivotButton="0" quotePrefix="0" xfId="2">
      <alignment vertical="center"/>
      <protection locked="0" hidden="0"/>
    </xf>
    <xf numFmtId="38" fontId="4" fillId="0" borderId="12" applyAlignment="1" applyProtection="1" pivotButton="0" quotePrefix="0" xfId="2">
      <alignment vertical="center"/>
      <protection locked="0" hidden="0"/>
    </xf>
    <xf numFmtId="38" fontId="4" fillId="0" borderId="61" applyAlignment="1" applyProtection="1" pivotButton="0" quotePrefix="0" xfId="2">
      <alignment vertical="center"/>
      <protection locked="0" hidden="0"/>
    </xf>
    <xf numFmtId="38" fontId="4" fillId="0" borderId="62" applyAlignment="1" applyProtection="1" pivotButton="0" quotePrefix="0" xfId="2">
      <alignment vertical="center"/>
      <protection locked="0" hidden="0"/>
    </xf>
    <xf numFmtId="38" fontId="4" fillId="0" borderId="63" applyAlignment="1" applyProtection="1" pivotButton="0" quotePrefix="0" xfId="2">
      <alignment vertical="center"/>
      <protection locked="0" hidden="0"/>
    </xf>
    <xf numFmtId="164" fontId="4" fillId="10" borderId="12" applyAlignment="1" applyProtection="1" pivotButton="0" quotePrefix="0" xfId="2">
      <alignment vertical="center"/>
      <protection locked="0" hidden="0"/>
    </xf>
    <xf numFmtId="164" fontId="4" fillId="10" borderId="61" applyAlignment="1" applyProtection="1" pivotButton="0" quotePrefix="0" xfId="2">
      <alignment vertical="center"/>
      <protection locked="0" hidden="0"/>
    </xf>
    <xf numFmtId="164" fontId="4" fillId="10" borderId="62" applyAlignment="1" applyProtection="1" pivotButton="0" quotePrefix="0" xfId="2">
      <alignment vertical="center"/>
      <protection locked="0" hidden="0"/>
    </xf>
    <xf numFmtId="164" fontId="4" fillId="10" borderId="63" applyAlignment="1" applyProtection="1" pivotButton="0" quotePrefix="0" xfId="2">
      <alignment vertical="center"/>
      <protection locked="0" hidden="0"/>
    </xf>
    <xf numFmtId="164" fontId="4" fillId="10" borderId="73" applyAlignment="1" applyProtection="1" pivotButton="0" quotePrefix="0" xfId="2">
      <alignment vertical="center"/>
      <protection locked="0" hidden="0"/>
    </xf>
    <xf numFmtId="164" fontId="4" fillId="10" borderId="74" applyAlignment="1" applyProtection="1" pivotButton="0" quotePrefix="0" xfId="2">
      <alignment vertical="center"/>
      <protection locked="0" hidden="0"/>
    </xf>
    <xf numFmtId="164" fontId="4" fillId="10" borderId="75" applyAlignment="1" applyProtection="1" pivotButton="0" quotePrefix="0" xfId="2">
      <alignment vertical="center"/>
      <protection locked="0" hidden="0"/>
    </xf>
    <xf numFmtId="164" fontId="4" fillId="10" borderId="76" applyAlignment="1" applyProtection="1" pivotButton="0" quotePrefix="0" xfId="2">
      <alignment vertical="center"/>
      <protection locked="0" hidden="0"/>
    </xf>
    <xf numFmtId="164" fontId="4" fillId="10" borderId="77" applyAlignment="1" pivotButton="0" quotePrefix="0" xfId="2">
      <alignment vertical="center"/>
    </xf>
    <xf numFmtId="164" fontId="4" fillId="10" borderId="78" applyAlignment="1" pivotButton="0" quotePrefix="0" xfId="2">
      <alignment vertical="center"/>
    </xf>
    <xf numFmtId="164" fontId="4" fillId="10" borderId="79" applyAlignment="1" pivotButton="0" quotePrefix="0" xfId="2">
      <alignment vertical="center"/>
    </xf>
    <xf numFmtId="164" fontId="4" fillId="10" borderId="80" applyAlignment="1" pivotButton="0" quotePrefix="0" xfId="2">
      <alignment vertical="center"/>
    </xf>
    <xf numFmtId="164" fontId="4" fillId="10" borderId="81" applyAlignment="1" applyProtection="1" pivotButton="0" quotePrefix="0" xfId="2">
      <alignment vertical="center"/>
      <protection locked="0" hidden="0"/>
    </xf>
    <xf numFmtId="164" fontId="4" fillId="10" borderId="82" applyAlignment="1" applyProtection="1" pivotButton="0" quotePrefix="0" xfId="2">
      <alignment vertical="center"/>
      <protection locked="0" hidden="0"/>
    </xf>
    <xf numFmtId="164" fontId="4" fillId="10" borderId="83" applyAlignment="1" applyProtection="1" pivotButton="0" quotePrefix="0" xfId="2">
      <alignment vertical="center"/>
      <protection locked="0" hidden="0"/>
    </xf>
    <xf numFmtId="164" fontId="4" fillId="10" borderId="84" applyAlignment="1" applyProtection="1" pivotButton="0" quotePrefix="0" xfId="2">
      <alignment vertical="center"/>
      <protection locked="0" hidden="0"/>
    </xf>
    <xf numFmtId="164" fontId="4" fillId="10" borderId="86" applyAlignment="1" applyProtection="1" pivotButton="0" quotePrefix="0" xfId="2">
      <alignment vertical="center"/>
      <protection locked="0" hidden="0"/>
    </xf>
    <xf numFmtId="164" fontId="4" fillId="10" borderId="87" applyAlignment="1" applyProtection="1" pivotButton="0" quotePrefix="0" xfId="2">
      <alignment vertical="center"/>
      <protection locked="0" hidden="0"/>
    </xf>
    <xf numFmtId="164" fontId="4" fillId="10" borderId="88" applyAlignment="1" applyProtection="1" pivotButton="0" quotePrefix="0" xfId="2">
      <alignment vertical="center"/>
      <protection locked="0" hidden="0"/>
    </xf>
    <xf numFmtId="164" fontId="4" fillId="10" borderId="89" applyAlignment="1" applyProtection="1" pivotButton="0" quotePrefix="0" xfId="2">
      <alignment vertical="center"/>
      <protection locked="0" hidden="0"/>
    </xf>
    <xf numFmtId="164" fontId="4" fillId="10" borderId="90" applyAlignment="1" applyProtection="1" pivotButton="0" quotePrefix="0" xfId="2">
      <alignment vertical="center"/>
      <protection locked="0" hidden="0"/>
    </xf>
    <xf numFmtId="164" fontId="4" fillId="10" borderId="91" applyAlignment="1" applyProtection="1" pivotButton="0" quotePrefix="0" xfId="2">
      <alignment vertical="center"/>
      <protection locked="0" hidden="0"/>
    </xf>
    <xf numFmtId="164" fontId="4" fillId="10" borderId="92" applyAlignment="1" applyProtection="1" pivotButton="0" quotePrefix="0" xfId="2">
      <alignment vertical="center"/>
      <protection locked="0" hidden="0"/>
    </xf>
    <xf numFmtId="164" fontId="4" fillId="10" borderId="93" applyAlignment="1" applyProtection="1" pivotButton="0" quotePrefix="0" xfId="2">
      <alignment vertical="center"/>
      <protection locked="0" hidden="0"/>
    </xf>
    <xf numFmtId="164" fontId="4" fillId="10" borderId="94" applyAlignment="1" pivotButton="0" quotePrefix="0" xfId="2">
      <alignment vertical="center"/>
    </xf>
    <xf numFmtId="164" fontId="4" fillId="10" borderId="95" applyAlignment="1" pivotButton="0" quotePrefix="0" xfId="2">
      <alignment vertical="center"/>
    </xf>
    <xf numFmtId="164" fontId="4" fillId="10" borderId="96" applyAlignment="1" pivotButton="0" quotePrefix="0" xfId="2">
      <alignment vertical="center"/>
    </xf>
    <xf numFmtId="38" fontId="5" fillId="10" borderId="66" applyAlignment="1" applyProtection="1" pivotButton="0" quotePrefix="0" xfId="2">
      <alignment vertical="center"/>
      <protection locked="0" hidden="0"/>
    </xf>
    <xf numFmtId="40" fontId="5" fillId="10" borderId="66" applyAlignment="1" applyProtection="1" pivotButton="0" quotePrefix="0" xfId="2">
      <alignment vertical="center"/>
      <protection locked="0" hidden="0"/>
    </xf>
    <xf numFmtId="0" fontId="0" fillId="0" borderId="0" pivotButton="0" quotePrefix="0" xfId="0"/>
    <xf numFmtId="164" fontId="4" fillId="11" borderId="114" applyAlignment="1" applyProtection="1" pivotButton="0" quotePrefix="0" xfId="0">
      <alignment vertical="center"/>
      <protection locked="0" hidden="0"/>
    </xf>
    <xf numFmtId="164" fontId="4" fillId="10" borderId="62" applyAlignment="1" applyProtection="1" pivotButton="0" quotePrefix="1" xfId="2">
      <alignment vertical="center"/>
      <protection locked="0" hidden="0"/>
    </xf>
    <xf numFmtId="0" fontId="5" fillId="0" borderId="0" applyAlignment="1" pivotButton="0" quotePrefix="0" xfId="0">
      <alignment vertical="center"/>
    </xf>
    <xf numFmtId="40" fontId="4" fillId="0" borderId="61" applyAlignment="1" applyProtection="1" pivotButton="0" quotePrefix="0" xfId="2">
      <alignment vertical="center"/>
      <protection locked="0" hidden="0"/>
    </xf>
    <xf numFmtId="14" fontId="5" fillId="9" borderId="0" applyAlignment="1" pivotButton="0" quotePrefix="0" xfId="0">
      <alignment vertical="center"/>
    </xf>
    <xf numFmtId="38" fontId="5" fillId="0" borderId="0" applyAlignment="1" pivotButton="0" quotePrefix="0" xfId="2">
      <alignment vertical="center"/>
    </xf>
    <xf numFmtId="40" fontId="5" fillId="0" borderId="0" applyAlignment="1" pivotButton="0" quotePrefix="0" xfId="2">
      <alignment vertical="center"/>
    </xf>
    <xf numFmtId="38" fontId="5" fillId="0" borderId="0" applyAlignment="1" pivotButton="0" quotePrefix="0" xfId="3">
      <alignment horizontal="right" vertical="center"/>
    </xf>
    <xf numFmtId="39" fontId="5" fillId="0" borderId="0" applyAlignment="1" pivotButton="0" quotePrefix="0" xfId="2">
      <alignment horizontal="center" vertical="center"/>
    </xf>
    <xf numFmtId="40" fontId="4" fillId="10" borderId="87" applyAlignment="1" applyProtection="1" pivotButton="0" quotePrefix="0" xfId="2">
      <alignment vertical="center"/>
      <protection locked="0" hidden="0"/>
    </xf>
    <xf numFmtId="40" fontId="4" fillId="10" borderId="61" applyAlignment="1" applyProtection="1" pivotButton="0" quotePrefix="0" xfId="2">
      <alignment vertical="center"/>
      <protection locked="0" hidden="0"/>
    </xf>
    <xf numFmtId="38" fontId="1" fillId="0" borderId="0" applyAlignment="1" pivotButton="0" quotePrefix="0" xfId="3">
      <alignment horizontal="left" vertical="top"/>
    </xf>
    <xf numFmtId="38" fontId="1" fillId="0" borderId="0" applyAlignment="1" pivotButton="0" quotePrefix="0" xfId="3">
      <alignment horizontal="left" vertical="center"/>
    </xf>
    <xf numFmtId="40" fontId="5" fillId="10" borderId="66" applyAlignment="1" applyProtection="1" pivotButton="0" quotePrefix="0" xfId="2">
      <alignment horizontal="left" vertical="center"/>
      <protection locked="0" hidden="0"/>
    </xf>
    <xf numFmtId="164" fontId="4" fillId="10" borderId="61" applyAlignment="1" applyProtection="1" pivotButton="0" quotePrefix="0" xfId="2">
      <alignment horizontal="left" vertical="center"/>
      <protection locked="0" hidden="0"/>
    </xf>
    <xf numFmtId="164" fontId="4" fillId="10" borderId="78" applyAlignment="1" pivotButton="0" quotePrefix="0" xfId="2">
      <alignment horizontal="left" vertical="center"/>
    </xf>
    <xf numFmtId="164" fontId="4" fillId="10" borderId="61" applyAlignment="1" applyProtection="1" pivotButton="0" quotePrefix="1" xfId="2">
      <alignment vertical="center"/>
      <protection locked="0" hidden="0"/>
    </xf>
    <xf numFmtId="164" fontId="4" fillId="10" borderId="75" applyAlignment="1" applyProtection="1" pivotButton="0" quotePrefix="1" xfId="2">
      <alignment vertical="center"/>
      <protection locked="0" hidden="0"/>
    </xf>
    <xf numFmtId="0" fontId="5" fillId="0" borderId="0" applyAlignment="1" pivotButton="0" quotePrefix="0" xfId="0">
      <alignment horizontal="left" vertical="top"/>
    </xf>
    <xf numFmtId="0" fontId="9" fillId="0" borderId="0" applyAlignment="1" pivotButton="0" quotePrefix="0" xfId="0">
      <alignment vertical="center"/>
    </xf>
    <xf numFmtId="0" fontId="9" fillId="0" borderId="0" applyAlignment="1" pivotButton="0" quotePrefix="0" xfId="0">
      <alignment vertical="center" wrapText="1"/>
    </xf>
    <xf numFmtId="0" fontId="12" fillId="7" borderId="30" applyAlignment="1" pivotButton="0" quotePrefix="0" xfId="0">
      <alignment horizontal="center" vertical="center"/>
    </xf>
    <xf numFmtId="0" fontId="14" fillId="0" borderId="0" applyAlignment="1" pivotButton="0" quotePrefix="0" xfId="0">
      <alignment vertical="center"/>
    </xf>
    <xf numFmtId="0" fontId="15" fillId="0" borderId="0" applyAlignment="1" pivotButton="0" quotePrefix="0" xfId="0">
      <alignment vertical="center"/>
    </xf>
    <xf numFmtId="0" fontId="16" fillId="2" borderId="42" applyAlignment="1" pivotButton="0" quotePrefix="0" xfId="0">
      <alignment vertical="center"/>
    </xf>
    <xf numFmtId="0" fontId="10" fillId="4" borderId="30" applyAlignment="1" pivotButton="0" quotePrefix="0" xfId="0">
      <alignment horizontal="center" vertical="center"/>
    </xf>
    <xf numFmtId="0" fontId="18" fillId="2" borderId="46" applyAlignment="1" pivotButton="0" quotePrefix="0" xfId="0">
      <alignment horizontal="center" vertical="center"/>
    </xf>
    <xf numFmtId="0" fontId="18" fillId="2" borderId="42" applyAlignment="1" pivotButton="0" quotePrefix="0" xfId="0">
      <alignment horizontal="center" vertical="center"/>
    </xf>
    <xf numFmtId="0" fontId="10" fillId="4" borderId="47" applyAlignment="1" pivotButton="0" quotePrefix="0" xfId="0">
      <alignment horizontal="center" vertical="center"/>
    </xf>
    <xf numFmtId="0" fontId="12" fillId="8" borderId="30" applyAlignment="1" pivotButton="0" quotePrefix="0" xfId="0">
      <alignment horizontal="center" vertical="center"/>
    </xf>
    <xf numFmtId="0" fontId="13" fillId="0" borderId="39" applyAlignment="1" pivotButton="0" quotePrefix="0" xfId="0">
      <alignment horizontal="left" vertical="center"/>
    </xf>
    <xf numFmtId="10" fontId="13" fillId="0" borderId="32" applyAlignment="1" pivotButton="0" quotePrefix="0" xfId="0">
      <alignment horizontal="center" vertical="center"/>
    </xf>
    <xf numFmtId="165" fontId="13" fillId="0" borderId="0" applyAlignment="1" pivotButton="0" quotePrefix="0" xfId="0">
      <alignment vertical="center"/>
    </xf>
    <xf numFmtId="0" fontId="13" fillId="0" borderId="116" applyAlignment="1" pivotButton="0" quotePrefix="0" xfId="0">
      <alignment horizontal="left" vertical="center"/>
    </xf>
    <xf numFmtId="10" fontId="13" fillId="0" borderId="117" applyAlignment="1" pivotButton="0" quotePrefix="0" xfId="0">
      <alignment horizontal="center" vertical="center"/>
    </xf>
    <xf numFmtId="0" fontId="13" fillId="0" borderId="0" applyAlignment="1" pivotButton="0" quotePrefix="0" xfId="0">
      <alignment horizontal="center" vertical="center"/>
    </xf>
    <xf numFmtId="38" fontId="13" fillId="0" borderId="0" applyAlignment="1" pivotButton="0" quotePrefix="0" xfId="0">
      <alignment vertical="center"/>
    </xf>
    <xf numFmtId="38" fontId="19" fillId="0" borderId="0" applyAlignment="1" pivotButton="0" quotePrefix="0" xfId="0">
      <alignment vertical="center"/>
    </xf>
    <xf numFmtId="0" fontId="13" fillId="0" borderId="0" applyAlignment="1" pivotButton="0" quotePrefix="0" xfId="0">
      <alignment vertical="center"/>
    </xf>
    <xf numFmtId="166" fontId="13" fillId="0" borderId="0" applyAlignment="1" pivotButton="0" quotePrefix="0" xfId="0">
      <alignment vertical="center"/>
    </xf>
    <xf numFmtId="0" fontId="13" fillId="0" borderId="0" applyAlignment="1" pivotButton="0" quotePrefix="0" xfId="0">
      <alignment horizontal="left" vertical="center"/>
    </xf>
    <xf numFmtId="14" fontId="13" fillId="0" borderId="0" applyAlignment="1" pivotButton="0" quotePrefix="0" xfId="0">
      <alignment vertical="center"/>
    </xf>
    <xf numFmtId="16" fontId="13" fillId="0" borderId="0" applyAlignment="1" pivotButton="0" quotePrefix="0" xfId="0">
      <alignment vertical="center"/>
    </xf>
    <xf numFmtId="167" fontId="13" fillId="0" borderId="0" applyAlignment="1" pivotButton="0" quotePrefix="0" xfId="0">
      <alignment vertical="center"/>
    </xf>
    <xf numFmtId="38" fontId="21" fillId="0" borderId="0" applyAlignment="1" pivotButton="0" quotePrefix="0" xfId="3">
      <alignment vertical="center"/>
    </xf>
    <xf numFmtId="0" fontId="22" fillId="5" borderId="0" applyAlignment="1" pivotButton="0" quotePrefix="0" xfId="3">
      <alignment vertical="center"/>
    </xf>
    <xf numFmtId="38" fontId="22" fillId="0" borderId="0" applyAlignment="1" pivotButton="0" quotePrefix="0" xfId="3">
      <alignment vertical="center"/>
    </xf>
    <xf numFmtId="0" fontId="22" fillId="5" borderId="0" applyAlignment="1" applyProtection="1" pivotButton="0" quotePrefix="0" xfId="3">
      <alignment vertical="center"/>
      <protection locked="0" hidden="0"/>
    </xf>
    <xf numFmtId="0" fontId="22" fillId="0" borderId="0" applyAlignment="1" pivotButton="0" quotePrefix="0" xfId="3">
      <alignment vertical="center"/>
    </xf>
    <xf numFmtId="38" fontId="23" fillId="2" borderId="26" applyAlignment="1" pivotButton="0" quotePrefix="0" xfId="3">
      <alignment horizontal="center" vertical="center"/>
    </xf>
    <xf numFmtId="168" fontId="22" fillId="0" borderId="1" applyAlignment="1" pivotButton="0" quotePrefix="0" xfId="3">
      <alignment horizontal="center" vertical="center"/>
    </xf>
    <xf numFmtId="38" fontId="13" fillId="0" borderId="2" applyAlignment="1" pivotButton="0" quotePrefix="0" xfId="3">
      <alignment horizontal="left" vertical="center"/>
    </xf>
    <xf numFmtId="168" fontId="22" fillId="0" borderId="1" applyAlignment="1" pivotButton="0" quotePrefix="1" xfId="3">
      <alignment horizontal="center" vertical="center"/>
    </xf>
    <xf numFmtId="38" fontId="13" fillId="0" borderId="3" applyAlignment="1" pivotButton="0" quotePrefix="0" xfId="3">
      <alignment horizontal="left" vertical="center"/>
    </xf>
    <xf numFmtId="38" fontId="13" fillId="0" borderId="1" applyAlignment="1" pivotButton="0" quotePrefix="0" xfId="3">
      <alignment horizontal="left" vertical="center"/>
    </xf>
    <xf numFmtId="168" fontId="22" fillId="0" borderId="24" applyAlignment="1" pivotButton="0" quotePrefix="1" xfId="3">
      <alignment horizontal="center" vertical="center"/>
    </xf>
    <xf numFmtId="0" fontId="22" fillId="0" borderId="0" applyAlignment="1" applyProtection="1" pivotButton="0" quotePrefix="0" xfId="3">
      <alignment vertical="center"/>
      <protection locked="0" hidden="0"/>
    </xf>
    <xf numFmtId="38" fontId="24" fillId="4" borderId="27" applyAlignment="1" pivotButton="0" quotePrefix="0" xfId="3">
      <alignment horizontal="center" vertical="center"/>
    </xf>
    <xf numFmtId="38" fontId="25" fillId="7" borderId="42" applyAlignment="1" pivotButton="0" quotePrefix="0" xfId="1">
      <alignment horizontal="center" vertical="center"/>
    </xf>
    <xf numFmtId="38" fontId="24" fillId="4" borderId="28" applyAlignment="1" pivotButton="0" quotePrefix="0" xfId="3">
      <alignment horizontal="center" vertical="center"/>
    </xf>
    <xf numFmtId="38" fontId="27" fillId="0" borderId="4" applyAlignment="1" pivotButton="0" quotePrefix="0" xfId="3">
      <alignment vertical="center"/>
    </xf>
    <xf numFmtId="38" fontId="27" fillId="0" borderId="25" applyAlignment="1" pivotButton="0" quotePrefix="0" xfId="3">
      <alignment horizontal="center" vertical="center"/>
    </xf>
    <xf numFmtId="38" fontId="27" fillId="0" borderId="23" applyAlignment="1" pivotButton="0" quotePrefix="0" xfId="3">
      <alignment horizontal="center" vertical="center"/>
    </xf>
    <xf numFmtId="38" fontId="27" fillId="0" borderId="21" applyAlignment="1" pivotButton="0" quotePrefix="0" xfId="3">
      <alignment horizontal="center" vertical="center"/>
    </xf>
    <xf numFmtId="38" fontId="27" fillId="0" borderId="22" applyAlignment="1" pivotButton="0" quotePrefix="0" xfId="3">
      <alignment horizontal="center" vertical="center"/>
    </xf>
    <xf numFmtId="38" fontId="28" fillId="0" borderId="0" applyAlignment="1" pivotButton="0" quotePrefix="0" xfId="3">
      <alignment vertical="center"/>
    </xf>
    <xf numFmtId="38" fontId="21" fillId="2" borderId="6" applyAlignment="1" pivotButton="0" quotePrefix="0" xfId="3">
      <alignment horizontal="center" vertical="center"/>
    </xf>
    <xf numFmtId="38" fontId="21" fillId="2" borderId="7" applyAlignment="1" pivotButton="0" quotePrefix="0" xfId="3">
      <alignment horizontal="center" vertical="center"/>
    </xf>
    <xf numFmtId="38" fontId="21" fillId="2" borderId="8" applyAlignment="1" pivotButton="0" quotePrefix="0" xfId="3">
      <alignment horizontal="center" vertical="center"/>
    </xf>
    <xf numFmtId="38" fontId="21" fillId="2" borderId="9" applyAlignment="1" pivotButton="0" quotePrefix="0" xfId="3">
      <alignment horizontal="center" vertical="center"/>
    </xf>
    <xf numFmtId="38" fontId="21" fillId="2" borderId="10" applyAlignment="1" pivotButton="0" quotePrefix="0" xfId="3">
      <alignment horizontal="center" vertical="center"/>
    </xf>
    <xf numFmtId="164" fontId="27" fillId="10" borderId="11" applyAlignment="1" pivotButton="0" quotePrefix="0" xfId="2">
      <alignment vertical="center"/>
    </xf>
    <xf numFmtId="38" fontId="27" fillId="10" borderId="64" applyAlignment="1" applyProtection="1" pivotButton="0" quotePrefix="0" xfId="2">
      <alignment vertical="center"/>
      <protection locked="0" hidden="0"/>
    </xf>
    <xf numFmtId="164" fontId="27" fillId="10" borderId="65" applyAlignment="1" applyProtection="1" pivotButton="0" quotePrefix="0" xfId="2">
      <alignment vertical="center"/>
      <protection locked="0" hidden="0"/>
    </xf>
    <xf numFmtId="164" fontId="27" fillId="10" borderId="0" applyAlignment="1" pivotButton="0" quotePrefix="0" xfId="2">
      <alignment vertical="center"/>
    </xf>
    <xf numFmtId="164" fontId="27" fillId="10" borderId="12" applyAlignment="1" pivotButton="0" quotePrefix="0" xfId="2">
      <alignment horizontal="right" vertical="center"/>
    </xf>
    <xf numFmtId="164" fontId="27" fillId="10" borderId="63" applyAlignment="1" pivotButton="0" quotePrefix="0" xfId="2">
      <alignment vertical="center"/>
    </xf>
    <xf numFmtId="38" fontId="27" fillId="0" borderId="18" applyAlignment="1" pivotButton="0" quotePrefix="0" xfId="2">
      <alignment horizontal="left" vertical="center"/>
    </xf>
    <xf numFmtId="164" fontId="27" fillId="10" borderId="67" applyAlignment="1" applyProtection="1" pivotButton="0" quotePrefix="0" xfId="2">
      <alignment vertical="center"/>
      <protection locked="0" hidden="0"/>
    </xf>
    <xf numFmtId="38" fontId="27" fillId="0" borderId="5" applyAlignment="1" pivotButton="0" quotePrefix="0" xfId="2">
      <alignment horizontal="left" vertical="center"/>
    </xf>
    <xf numFmtId="164" fontId="29" fillId="10" borderId="98" applyAlignment="1" pivotButton="0" quotePrefix="0" xfId="3">
      <alignment horizontal="left" vertical="center"/>
    </xf>
    <xf numFmtId="164" fontId="27" fillId="10" borderId="13" applyAlignment="1" pivotButton="0" quotePrefix="0" xfId="2">
      <alignment vertical="center"/>
    </xf>
    <xf numFmtId="164" fontId="27" fillId="10" borderId="69" applyAlignment="1" applyProtection="1" pivotButton="0" quotePrefix="0" xfId="2">
      <alignment vertical="center"/>
      <protection locked="0" hidden="0"/>
    </xf>
    <xf numFmtId="164" fontId="27" fillId="10" borderId="12" applyAlignment="1" pivotButton="0" quotePrefix="0" xfId="2">
      <alignment horizontal="right" vertical="center" wrapText="1"/>
    </xf>
    <xf numFmtId="164" fontId="27" fillId="10" borderId="14" applyAlignment="1" pivotButton="0" quotePrefix="0" xfId="2">
      <alignment horizontal="center" vertical="center"/>
    </xf>
    <xf numFmtId="164" fontId="27" fillId="10" borderId="71" applyAlignment="1" pivotButton="0" quotePrefix="0" xfId="2">
      <alignment vertical="center"/>
    </xf>
    <xf numFmtId="164" fontId="27" fillId="10" borderId="15" applyAlignment="1" pivotButton="0" quotePrefix="0" xfId="2">
      <alignment horizontal="center" vertical="center"/>
    </xf>
    <xf numFmtId="164" fontId="27" fillId="10" borderId="70" applyAlignment="1" pivotButton="0" quotePrefix="0" xfId="2">
      <alignment vertical="center"/>
    </xf>
    <xf numFmtId="38" fontId="27" fillId="0" borderId="0" applyAlignment="1" pivotButton="0" quotePrefix="0" xfId="2">
      <alignment horizontal="center" vertical="center"/>
    </xf>
    <xf numFmtId="38" fontId="28" fillId="0" borderId="0" applyAlignment="1" pivotButton="0" quotePrefix="0" xfId="2">
      <alignment vertical="center"/>
    </xf>
    <xf numFmtId="38" fontId="21" fillId="2" borderId="9" applyAlignment="1" pivotButton="0" quotePrefix="0" xfId="2">
      <alignment horizontal="center" vertical="center"/>
    </xf>
    <xf numFmtId="38" fontId="21" fillId="2" borderId="16" applyAlignment="1" pivotButton="0" quotePrefix="0" xfId="2">
      <alignment horizontal="center" vertical="center"/>
    </xf>
    <xf numFmtId="38" fontId="21" fillId="2" borderId="10" applyAlignment="1" pivotButton="0" quotePrefix="0" xfId="2">
      <alignment horizontal="center" vertical="center"/>
    </xf>
    <xf numFmtId="38" fontId="27" fillId="0" borderId="19" applyAlignment="1" pivotButton="0" quotePrefix="0" xfId="2">
      <alignment horizontal="left" vertical="center"/>
    </xf>
    <xf numFmtId="164" fontId="30" fillId="10" borderId="62" applyAlignment="1" applyProtection="1" pivotButton="0" quotePrefix="0" xfId="2">
      <alignment vertical="center"/>
      <protection locked="0" hidden="0"/>
    </xf>
    <xf numFmtId="38" fontId="27" fillId="0" borderId="12" applyAlignment="1" pivotButton="0" quotePrefix="0" xfId="2">
      <alignment vertical="center"/>
    </xf>
    <xf numFmtId="38" fontId="27" fillId="0" borderId="63" applyAlignment="1" applyProtection="1" pivotButton="0" quotePrefix="1" xfId="2">
      <alignment vertical="center"/>
      <protection locked="0" hidden="0"/>
    </xf>
    <xf numFmtId="38" fontId="27" fillId="0" borderId="115" applyAlignment="1" applyProtection="1" pivotButton="0" quotePrefix="1" xfId="0">
      <alignment vertical="center"/>
      <protection locked="0" hidden="0"/>
    </xf>
    <xf numFmtId="38" fontId="27" fillId="0" borderId="5" applyAlignment="1" pivotButton="0" quotePrefix="0" xfId="2">
      <alignment vertical="center"/>
    </xf>
    <xf numFmtId="164" fontId="19" fillId="10" borderId="75" applyAlignment="1" applyProtection="1" pivotButton="0" quotePrefix="0" xfId="2">
      <alignment vertical="center"/>
      <protection locked="0" hidden="0"/>
    </xf>
    <xf numFmtId="164" fontId="30" fillId="10" borderId="75" applyAlignment="1" applyProtection="1" pivotButton="0" quotePrefix="0" xfId="2">
      <alignment vertical="center"/>
      <protection locked="0" hidden="0"/>
    </xf>
    <xf numFmtId="38" fontId="29" fillId="0" borderId="12" applyAlignment="1" pivotButton="0" quotePrefix="0" xfId="2">
      <alignment vertical="center"/>
    </xf>
    <xf numFmtId="38" fontId="27" fillId="0" borderId="17" applyAlignment="1" pivotButton="0" quotePrefix="0" xfId="2">
      <alignment horizontal="right" vertical="center"/>
    </xf>
    <xf numFmtId="164" fontId="19" fillId="10" borderId="83" applyAlignment="1" applyProtection="1" pivotButton="0" quotePrefix="0" xfId="2">
      <alignment vertical="center"/>
      <protection locked="0" hidden="0"/>
    </xf>
    <xf numFmtId="164" fontId="30" fillId="10" borderId="83" applyAlignment="1" applyProtection="1" pivotButton="0" quotePrefix="0" xfId="2">
      <alignment vertical="center"/>
      <protection locked="0" hidden="0"/>
    </xf>
    <xf numFmtId="38" fontId="31" fillId="0" borderId="0" applyAlignment="1" pivotButton="0" quotePrefix="0" xfId="2">
      <alignment horizontal="center" vertical="center"/>
    </xf>
    <xf numFmtId="38" fontId="27" fillId="0" borderId="63" applyAlignment="1" applyProtection="1" pivotButton="0" quotePrefix="0" xfId="2">
      <alignment vertical="center"/>
      <protection locked="0" hidden="0"/>
    </xf>
    <xf numFmtId="38" fontId="27" fillId="9" borderId="18" applyAlignment="1" pivotButton="0" quotePrefix="0" xfId="2">
      <alignment vertical="center"/>
    </xf>
    <xf numFmtId="169" fontId="27" fillId="0" borderId="0" applyAlignment="1" pivotButton="0" quotePrefix="0" xfId="2">
      <alignment vertical="center"/>
    </xf>
    <xf numFmtId="38" fontId="27" fillId="9" borderId="19" applyAlignment="1" pivotButton="0" quotePrefix="0" xfId="3">
      <alignment vertical="center"/>
    </xf>
    <xf numFmtId="38" fontId="27" fillId="0" borderId="12" applyAlignment="1" applyProtection="1" pivotButton="0" quotePrefix="0" xfId="2">
      <alignment vertical="center"/>
      <protection locked="0" hidden="0"/>
    </xf>
    <xf numFmtId="164" fontId="19" fillId="10" borderId="62" applyAlignment="1" applyProtection="1" pivotButton="0" quotePrefix="0" xfId="2">
      <alignment vertical="center"/>
      <protection locked="0" hidden="0"/>
    </xf>
    <xf numFmtId="38" fontId="27" fillId="0" borderId="18" applyAlignment="1" pivotButton="0" quotePrefix="0" xfId="2">
      <alignment vertical="center"/>
    </xf>
    <xf numFmtId="38" fontId="27" fillId="0" borderId="19" applyAlignment="1" pivotButton="0" quotePrefix="0" xfId="3">
      <alignment vertical="center"/>
    </xf>
    <xf numFmtId="38" fontId="27" fillId="0" borderId="19" applyAlignment="1" pivotButton="0" quotePrefix="0" xfId="2">
      <alignment vertical="center"/>
    </xf>
    <xf numFmtId="38" fontId="27" fillId="0" borderId="72" applyAlignment="1" applyProtection="1" pivotButton="0" quotePrefix="0" xfId="2">
      <alignment vertical="center"/>
      <protection locked="0" hidden="0"/>
    </xf>
    <xf numFmtId="164" fontId="19" fillId="10" borderId="12" applyAlignment="1" applyProtection="1" pivotButton="0" quotePrefix="0" xfId="2">
      <alignment vertical="center"/>
      <protection locked="0" hidden="0"/>
    </xf>
    <xf numFmtId="164" fontId="25" fillId="10" borderId="62" applyAlignment="1" applyProtection="1" pivotButton="0" quotePrefix="0" xfId="1">
      <alignment vertical="center"/>
      <protection locked="0" hidden="0"/>
    </xf>
    <xf numFmtId="38" fontId="27" fillId="3" borderId="15" applyAlignment="1" pivotButton="0" quotePrefix="0" xfId="2">
      <alignment horizontal="center" vertical="center"/>
    </xf>
    <xf numFmtId="38" fontId="27" fillId="3" borderId="85" applyAlignment="1" pivotButton="0" quotePrefix="0" xfId="2">
      <alignment vertical="center"/>
    </xf>
    <xf numFmtId="164" fontId="30" fillId="10" borderId="88" applyAlignment="1" applyProtection="1" pivotButton="0" quotePrefix="0" xfId="2">
      <alignment vertical="center"/>
      <protection locked="0" hidden="0"/>
    </xf>
    <xf numFmtId="38" fontId="27" fillId="0" borderId="5" applyAlignment="1" pivotButton="0" quotePrefix="0" xfId="2">
      <alignment horizontal="right" vertical="center"/>
    </xf>
    <xf numFmtId="38" fontId="27" fillId="0" borderId="20" applyAlignment="1" pivotButton="0" quotePrefix="0" xfId="2">
      <alignment horizontal="right" vertical="center"/>
    </xf>
    <xf numFmtId="40" fontId="27" fillId="0" borderId="0" applyAlignment="1" pivotButton="0" quotePrefix="0" xfId="2">
      <alignment vertical="center"/>
    </xf>
    <xf numFmtId="40" fontId="9" fillId="0" borderId="0" applyAlignment="1" pivotButton="0" quotePrefix="0" xfId="2">
      <alignment vertical="center"/>
    </xf>
    <xf numFmtId="40" fontId="9" fillId="0" borderId="0" applyAlignment="1" pivotButton="0" quotePrefix="0" xfId="0">
      <alignment vertical="center"/>
    </xf>
    <xf numFmtId="170" fontId="27" fillId="0" borderId="0" applyAlignment="1" pivotButton="0" quotePrefix="0" xfId="2">
      <alignment vertical="center"/>
    </xf>
    <xf numFmtId="38" fontId="29" fillId="0" borderId="0" applyAlignment="1" pivotButton="0" quotePrefix="0" xfId="3">
      <alignment vertical="center"/>
    </xf>
    <xf numFmtId="38" fontId="27" fillId="10" borderId="70" applyAlignment="1" pivotButton="0" quotePrefix="0" xfId="2">
      <alignment vertical="center"/>
    </xf>
    <xf numFmtId="38" fontId="9" fillId="0" borderId="0" applyAlignment="1" pivotButton="0" quotePrefix="0" xfId="2">
      <alignment vertical="center"/>
    </xf>
    <xf numFmtId="38" fontId="27" fillId="0" borderId="0" applyAlignment="1" pivotButton="0" quotePrefix="0" xfId="2">
      <alignment horizontal="left" vertical="top"/>
    </xf>
    <xf numFmtId="38" fontId="27" fillId="10" borderId="66" applyAlignment="1" applyProtection="1" pivotButton="0" quotePrefix="0" xfId="2">
      <alignment vertical="center"/>
      <protection locked="0" hidden="0"/>
    </xf>
    <xf numFmtId="164" fontId="27" fillId="10" borderId="68" applyAlignment="1" applyProtection="1" pivotButton="0" quotePrefix="0" xfId="2">
      <alignment vertical="center"/>
      <protection locked="0" hidden="0"/>
    </xf>
    <xf numFmtId="38" fontId="27" fillId="0" borderId="0" applyAlignment="1" pivotButton="0" quotePrefix="0" xfId="2">
      <alignment vertical="center"/>
    </xf>
    <xf numFmtId="40" fontId="27" fillId="10" borderId="64" applyAlignment="1" applyProtection="1" pivotButton="0" quotePrefix="0" xfId="2">
      <alignment vertical="center"/>
      <protection locked="0" hidden="0"/>
    </xf>
    <xf numFmtId="40" fontId="27" fillId="10" borderId="66" applyAlignment="1" applyProtection="1" pivotButton="0" quotePrefix="0" xfId="2">
      <alignment vertical="center"/>
      <protection locked="0" hidden="0"/>
    </xf>
    <xf numFmtId="40" fontId="27" fillId="10" borderId="68" applyAlignment="1" applyProtection="1" pivotButton="0" quotePrefix="0" xfId="2">
      <alignment vertical="center"/>
      <protection locked="0" hidden="0"/>
    </xf>
    <xf numFmtId="40" fontId="27" fillId="10" borderId="70" applyAlignment="1" pivotButton="0" quotePrefix="0" xfId="2">
      <alignment vertical="center"/>
    </xf>
    <xf numFmtId="38" fontId="27" fillId="10" borderId="68" applyAlignment="1" applyProtection="1" pivotButton="0" quotePrefix="0" xfId="2">
      <alignment vertical="center"/>
      <protection locked="0" hidden="0"/>
    </xf>
    <xf numFmtId="38" fontId="27" fillId="0" borderId="0" applyAlignment="1" pivotButton="0" quotePrefix="0" xfId="3">
      <alignment vertical="center"/>
    </xf>
    <xf numFmtId="171" fontId="9" fillId="0" borderId="0" applyAlignment="1" pivotButton="0" quotePrefix="0" xfId="2">
      <alignment vertical="center"/>
    </xf>
    <xf numFmtId="0" fontId="33" fillId="0" borderId="0" pivotButton="0" quotePrefix="0" xfId="4"/>
    <xf numFmtId="172" fontId="33" fillId="0" borderId="0" pivotButton="0" quotePrefix="0" xfId="5"/>
    <xf numFmtId="0" fontId="34" fillId="0" borderId="0" pivotButton="0" quotePrefix="0" xfId="4"/>
    <xf numFmtId="172" fontId="34" fillId="0" borderId="0" pivotButton="0" quotePrefix="0" xfId="5"/>
    <xf numFmtId="171" fontId="34" fillId="0" borderId="0" pivotButton="0" quotePrefix="0" xfId="4"/>
    <xf numFmtId="9" fontId="33" fillId="0" borderId="0" pivotButton="0" quotePrefix="0" xfId="4"/>
    <xf numFmtId="164" fontId="27" fillId="10" borderId="64" applyAlignment="1" applyProtection="1" pivotButton="0" quotePrefix="0" xfId="2">
      <alignment vertical="center"/>
      <protection locked="0" hidden="0"/>
    </xf>
    <xf numFmtId="164" fontId="27" fillId="10" borderId="66" applyAlignment="1" applyProtection="1" pivotButton="0" quotePrefix="0" xfId="2">
      <alignment vertical="center"/>
      <protection locked="0" hidden="0"/>
    </xf>
    <xf numFmtId="164" fontId="27" fillId="10" borderId="67" applyAlignment="1" applyProtection="1" pivotButton="0" quotePrefix="1" xfId="2">
      <alignment vertical="center"/>
      <protection locked="0" hidden="0"/>
    </xf>
    <xf numFmtId="40" fontId="35" fillId="9" borderId="0" applyAlignment="1" pivotButton="0" quotePrefix="0" xfId="0">
      <alignment vertical="center"/>
    </xf>
    <xf numFmtId="173" fontId="9" fillId="0" borderId="0" applyAlignment="1" pivotButton="0" quotePrefix="0" xfId="0">
      <alignment vertical="center"/>
    </xf>
    <xf numFmtId="14" fontId="9" fillId="0" borderId="0" applyAlignment="1" pivotButton="0" quotePrefix="0" xfId="0">
      <alignment vertical="center"/>
    </xf>
    <xf numFmtId="38" fontId="21" fillId="0" borderId="0" applyAlignment="1" pivotButton="0" quotePrefix="0" xfId="3">
      <alignment horizontal="left" vertical="center"/>
    </xf>
    <xf numFmtId="38" fontId="22" fillId="0" borderId="0" applyAlignment="1" pivotButton="0" quotePrefix="0" xfId="3">
      <alignment horizontal="left" vertical="center"/>
    </xf>
    <xf numFmtId="0" fontId="22" fillId="5" borderId="0" applyAlignment="1" applyProtection="1" pivotButton="0" quotePrefix="0" xfId="3">
      <alignment horizontal="left" vertical="center"/>
      <protection locked="0" hidden="0"/>
    </xf>
    <xf numFmtId="0" fontId="22" fillId="0" borderId="0" applyAlignment="1" pivotButton="0" quotePrefix="0" xfId="3">
      <alignment horizontal="left" vertical="center"/>
    </xf>
    <xf numFmtId="38" fontId="23" fillId="2" borderId="26" applyAlignment="1" pivotButton="0" quotePrefix="0" xfId="3">
      <alignment horizontal="left" vertical="center"/>
    </xf>
    <xf numFmtId="0" fontId="22" fillId="0" borderId="0" applyAlignment="1" applyProtection="1" pivotButton="0" quotePrefix="0" xfId="3">
      <alignment horizontal="left" vertical="center"/>
      <protection locked="0" hidden="0"/>
    </xf>
    <xf numFmtId="38" fontId="24" fillId="4" borderId="27" applyAlignment="1" pivotButton="0" quotePrefix="0" xfId="3">
      <alignment horizontal="left" vertical="center"/>
    </xf>
    <xf numFmtId="38" fontId="25" fillId="7" borderId="42" applyAlignment="1" pivotButton="0" quotePrefix="0" xfId="1">
      <alignment horizontal="left" vertical="center"/>
    </xf>
    <xf numFmtId="38" fontId="24" fillId="4" borderId="28" applyAlignment="1" pivotButton="0" quotePrefix="0" xfId="3">
      <alignment horizontal="left" vertical="center"/>
    </xf>
    <xf numFmtId="38" fontId="27" fillId="0" borderId="4" applyAlignment="1" pivotButton="0" quotePrefix="0" xfId="3">
      <alignment horizontal="left" vertical="center"/>
    </xf>
    <xf numFmtId="38" fontId="28" fillId="0" borderId="0" applyAlignment="1" pivotButton="0" quotePrefix="0" xfId="3">
      <alignment horizontal="left" vertical="center"/>
    </xf>
    <xf numFmtId="38" fontId="21" fillId="2" borderId="7" applyAlignment="1" pivotButton="0" quotePrefix="0" xfId="3">
      <alignment horizontal="left" vertical="center"/>
    </xf>
    <xf numFmtId="38" fontId="21" fillId="2" borderId="8" applyAlignment="1" pivotButton="0" quotePrefix="0" xfId="3">
      <alignment horizontal="left" vertical="center"/>
    </xf>
    <xf numFmtId="38" fontId="21" fillId="2" borderId="9" applyAlignment="1" pivotButton="0" quotePrefix="0" xfId="3">
      <alignment horizontal="left" vertical="center"/>
    </xf>
    <xf numFmtId="38" fontId="21" fillId="2" borderId="10" applyAlignment="1" pivotButton="0" quotePrefix="0" xfId="3">
      <alignment horizontal="left" vertical="center"/>
    </xf>
    <xf numFmtId="40" fontId="27" fillId="10" borderId="66" applyAlignment="1" applyProtection="1" pivotButton="0" quotePrefix="0" xfId="2">
      <alignment horizontal="left" vertical="center"/>
      <protection locked="0" hidden="0"/>
    </xf>
    <xf numFmtId="164" fontId="27" fillId="10" borderId="65" applyAlignment="1" applyProtection="1" pivotButton="0" quotePrefix="0" xfId="2">
      <alignment horizontal="left" vertical="center"/>
      <protection locked="0" hidden="0"/>
    </xf>
    <xf numFmtId="164" fontId="27" fillId="10" borderId="0" applyAlignment="1" pivotButton="0" quotePrefix="0" xfId="2">
      <alignment horizontal="left" vertical="center"/>
    </xf>
    <xf numFmtId="164" fontId="27" fillId="10" borderId="12" applyAlignment="1" pivotButton="0" quotePrefix="0" xfId="2">
      <alignment horizontal="left" vertical="center"/>
    </xf>
    <xf numFmtId="164" fontId="27" fillId="10" borderId="63" applyAlignment="1" pivotButton="0" quotePrefix="0" xfId="2">
      <alignment horizontal="left" vertical="center"/>
    </xf>
    <xf numFmtId="38" fontId="27" fillId="0" borderId="0" applyAlignment="1" pivotButton="0" quotePrefix="0" xfId="2">
      <alignment horizontal="left" vertical="center"/>
    </xf>
    <xf numFmtId="164" fontId="27" fillId="10" borderId="67" applyAlignment="1" applyProtection="1" pivotButton="0" quotePrefix="0" xfId="2">
      <alignment horizontal="left" vertical="center"/>
      <protection locked="0" hidden="0"/>
    </xf>
    <xf numFmtId="164" fontId="29" fillId="10" borderId="13" applyAlignment="1" pivotButton="0" quotePrefix="0" xfId="2">
      <alignment vertical="center"/>
    </xf>
    <xf numFmtId="40" fontId="27" fillId="10" borderId="68" applyAlignment="1" applyProtection="1" pivotButton="0" quotePrefix="0" xfId="2">
      <alignment horizontal="left" vertical="center"/>
      <protection locked="0" hidden="0"/>
    </xf>
    <xf numFmtId="164" fontId="27" fillId="10" borderId="69" applyAlignment="1" applyProtection="1" pivotButton="0" quotePrefix="0" xfId="2">
      <alignment horizontal="left" vertical="center"/>
      <protection locked="0" hidden="0"/>
    </xf>
    <xf numFmtId="164" fontId="27" fillId="10" borderId="12" applyAlignment="1" pivotButton="0" quotePrefix="0" xfId="2">
      <alignment horizontal="left" vertical="center" wrapText="1"/>
    </xf>
    <xf numFmtId="40" fontId="27" fillId="10" borderId="70" applyAlignment="1" pivotButton="0" quotePrefix="0" xfId="2">
      <alignment horizontal="left" vertical="center"/>
    </xf>
    <xf numFmtId="164" fontId="27" fillId="10" borderId="71" applyAlignment="1" pivotButton="0" quotePrefix="0" xfId="2">
      <alignment horizontal="left" vertical="center"/>
    </xf>
    <xf numFmtId="164" fontId="27" fillId="10" borderId="15" applyAlignment="1" pivotButton="0" quotePrefix="0" xfId="2">
      <alignment horizontal="left" vertical="center"/>
    </xf>
    <xf numFmtId="164" fontId="27" fillId="10" borderId="70" applyAlignment="1" pivotButton="0" quotePrefix="0" xfId="2">
      <alignment horizontal="left" vertical="center"/>
    </xf>
    <xf numFmtId="38" fontId="21" fillId="2" borderId="16" applyAlignment="1" pivotButton="0" quotePrefix="0" xfId="2">
      <alignment horizontal="left" vertical="center"/>
    </xf>
    <xf numFmtId="38" fontId="21" fillId="2" borderId="10" applyAlignment="1" pivotButton="0" quotePrefix="0" xfId="2">
      <alignment horizontal="left" vertical="center"/>
    </xf>
    <xf numFmtId="38" fontId="28" fillId="0" borderId="0" applyAlignment="1" pivotButton="0" quotePrefix="0" xfId="2">
      <alignment horizontal="left" vertical="center"/>
    </xf>
    <xf numFmtId="38" fontId="27" fillId="0" borderId="17" applyAlignment="1" pivotButton="0" quotePrefix="0" xfId="2">
      <alignment horizontal="left" vertical="center"/>
    </xf>
    <xf numFmtId="38" fontId="31" fillId="0" borderId="0" applyAlignment="1" pivotButton="0" quotePrefix="0" xfId="2">
      <alignment horizontal="left" vertical="center"/>
    </xf>
    <xf numFmtId="38" fontId="27" fillId="9" borderId="18" applyAlignment="1" pivotButton="0" quotePrefix="0" xfId="2">
      <alignment horizontal="left" vertical="center"/>
    </xf>
    <xf numFmtId="38" fontId="27" fillId="9" borderId="19" applyAlignment="1" pivotButton="0" quotePrefix="0" xfId="3">
      <alignment horizontal="left" vertical="center"/>
    </xf>
    <xf numFmtId="38" fontId="27" fillId="0" borderId="63" applyAlignment="1" applyProtection="1" pivotButton="0" quotePrefix="0" xfId="2">
      <alignment horizontal="left" vertical="center"/>
      <protection locked="0" hidden="0"/>
    </xf>
    <xf numFmtId="38" fontId="27" fillId="0" borderId="19" applyAlignment="1" pivotButton="0" quotePrefix="0" xfId="3">
      <alignment horizontal="left" vertical="center"/>
    </xf>
    <xf numFmtId="38" fontId="27" fillId="0" borderId="72" applyAlignment="1" applyProtection="1" pivotButton="0" quotePrefix="0" xfId="2">
      <alignment horizontal="left" vertical="center"/>
      <protection locked="0" hidden="0"/>
    </xf>
    <xf numFmtId="38" fontId="27" fillId="3" borderId="85" applyAlignment="1" pivotButton="0" quotePrefix="0" xfId="2">
      <alignment horizontal="left" vertical="center"/>
    </xf>
    <xf numFmtId="38" fontId="36" fillId="0" borderId="0" applyAlignment="1" pivotButton="0" quotePrefix="0" xfId="3">
      <alignment horizontal="left" vertical="center"/>
    </xf>
    <xf numFmtId="38" fontId="27" fillId="0" borderId="0" applyAlignment="1" pivotButton="0" quotePrefix="0" xfId="3">
      <alignment horizontal="left" vertical="center"/>
    </xf>
    <xf numFmtId="38" fontId="27" fillId="0" borderId="20" applyAlignment="1" pivotButton="0" quotePrefix="0" xfId="2">
      <alignment horizontal="left" vertical="center"/>
    </xf>
    <xf numFmtId="0" fontId="9" fillId="0" borderId="0" applyAlignment="1" pivotButton="0" quotePrefix="0" xfId="0">
      <alignment horizontal="left" vertical="center"/>
    </xf>
    <xf numFmtId="38" fontId="36" fillId="0" borderId="0" applyAlignment="1" pivotButton="0" quotePrefix="1" xfId="3">
      <alignment vertical="center"/>
    </xf>
    <xf numFmtId="38" fontId="36" fillId="0" borderId="0" applyAlignment="1" pivotButton="0" quotePrefix="0" xfId="2">
      <alignment vertical="center"/>
    </xf>
    <xf numFmtId="170" fontId="36" fillId="0" borderId="0" applyAlignment="1" pivotButton="0" quotePrefix="0" xfId="2">
      <alignment vertical="center"/>
    </xf>
    <xf numFmtId="38" fontId="36" fillId="0" borderId="0" applyAlignment="1" pivotButton="0" quotePrefix="0" xfId="3">
      <alignment vertical="center"/>
    </xf>
    <xf numFmtId="164" fontId="27" fillId="10" borderId="65" applyAlignment="1" applyProtection="1" pivotButton="0" quotePrefix="1" xfId="2">
      <alignment vertical="center"/>
      <protection locked="0" hidden="0"/>
    </xf>
    <xf numFmtId="164" fontId="29" fillId="10" borderId="11" applyAlignment="1" pivotButton="0" quotePrefix="0" xfId="2">
      <alignment vertical="center"/>
    </xf>
    <xf numFmtId="40" fontId="37" fillId="9" borderId="0" applyAlignment="1" pivotButton="0" quotePrefix="0" xfId="0">
      <alignment vertical="center"/>
    </xf>
    <xf numFmtId="0" fontId="29" fillId="0" borderId="0" applyAlignment="1" pivotButton="0" quotePrefix="0" xfId="0">
      <alignment vertical="center"/>
    </xf>
    <xf numFmtId="0" fontId="33" fillId="0" borderId="0" pivotButton="0" quotePrefix="0" xfId="0"/>
    <xf numFmtId="171" fontId="9" fillId="0" borderId="0" pivotButton="0" quotePrefix="0" xfId="0"/>
    <xf numFmtId="172" fontId="9" fillId="0" borderId="0" pivotButton="0" quotePrefix="0" xfId="5"/>
    <xf numFmtId="0" fontId="9" fillId="0" borderId="0" pivotButton="0" quotePrefix="1" xfId="0"/>
    <xf numFmtId="9" fontId="33" fillId="0" borderId="0" pivotButton="0" quotePrefix="0" xfId="0"/>
    <xf numFmtId="167" fontId="27" fillId="0" borderId="0" applyAlignment="1" pivotButton="0" quotePrefix="0" xfId="2">
      <alignment vertical="center"/>
    </xf>
    <xf numFmtId="0" fontId="40" fillId="6" borderId="29" applyAlignment="1" pivotButton="0" quotePrefix="0" xfId="0">
      <alignment horizontal="center" vertical="center"/>
    </xf>
    <xf numFmtId="0" fontId="40" fillId="6" borderId="30" applyAlignment="1" pivotButton="0" quotePrefix="0" xfId="0">
      <alignment horizontal="center" vertical="center"/>
    </xf>
    <xf numFmtId="174" fontId="41" fillId="0" borderId="31" applyAlignment="1" pivotButton="0" quotePrefix="0" xfId="0">
      <alignment horizontal="center" vertical="center"/>
    </xf>
    <xf numFmtId="0" fontId="41" fillId="0" borderId="32" applyAlignment="1" pivotButton="0" quotePrefix="0" xfId="0">
      <alignment horizontal="center" vertical="center"/>
    </xf>
    <xf numFmtId="174" fontId="42" fillId="0" borderId="31" applyAlignment="1" pivotButton="0" quotePrefix="0" xfId="0">
      <alignment horizontal="center" vertical="center"/>
    </xf>
    <xf numFmtId="0" fontId="42" fillId="0" borderId="32" applyAlignment="1" pivotButton="0" quotePrefix="0" xfId="0">
      <alignment horizontal="center" vertical="center"/>
    </xf>
    <xf numFmtId="174" fontId="41" fillId="0" borderId="33" applyAlignment="1" pivotButton="0" quotePrefix="0" xfId="0">
      <alignment horizontal="center" vertical="center"/>
    </xf>
    <xf numFmtId="0" fontId="41" fillId="0" borderId="34" applyAlignment="1" pivotButton="0" quotePrefix="0" xfId="0">
      <alignment horizontal="center" vertical="center"/>
    </xf>
    <xf numFmtId="174" fontId="42" fillId="0" borderId="33" applyAlignment="1" pivotButton="0" quotePrefix="0" xfId="0">
      <alignment horizontal="center" vertical="center"/>
    </xf>
    <xf numFmtId="0" fontId="42" fillId="0" borderId="34" applyAlignment="1" pivotButton="0" quotePrefix="0" xfId="0">
      <alignment horizontal="center" vertical="center"/>
    </xf>
    <xf numFmtId="0" fontId="43" fillId="0" borderId="34" applyAlignment="1" pivotButton="0" quotePrefix="0" xfId="0">
      <alignment horizontal="center" vertical="center"/>
    </xf>
    <xf numFmtId="174" fontId="41" fillId="0" borderId="51" applyAlignment="1" pivotButton="0" quotePrefix="0" xfId="0">
      <alignment horizontal="center" vertical="center"/>
    </xf>
    <xf numFmtId="0" fontId="41" fillId="0" borderId="52" applyAlignment="1" pivotButton="0" quotePrefix="0" xfId="0">
      <alignment horizontal="center" vertical="center"/>
    </xf>
    <xf numFmtId="174" fontId="42" fillId="0" borderId="51" applyAlignment="1" pivotButton="0" quotePrefix="0" xfId="0">
      <alignment horizontal="center" vertical="center"/>
    </xf>
    <xf numFmtId="0" fontId="42" fillId="0" borderId="52" applyAlignment="1" pivotButton="0" quotePrefix="0" xfId="0">
      <alignment horizontal="center" vertical="center"/>
    </xf>
    <xf numFmtId="0" fontId="17" fillId="2" borderId="47" applyAlignment="1" pivotButton="0" quotePrefix="0" xfId="0">
      <alignment horizontal="center" vertical="center"/>
    </xf>
    <xf numFmtId="38" fontId="13" fillId="0" borderId="45" applyAlignment="1" pivotButton="0" quotePrefix="0" xfId="0">
      <alignment vertical="center"/>
    </xf>
    <xf numFmtId="38" fontId="13" fillId="0" borderId="43" applyAlignment="1" pivotButton="0" quotePrefix="0" xfId="0">
      <alignment vertical="center"/>
    </xf>
    <xf numFmtId="38" fontId="13" fillId="0" borderId="44" applyAlignment="1" pivotButton="0" quotePrefix="0" xfId="0">
      <alignment vertical="center"/>
    </xf>
    <xf numFmtId="40" fontId="13" fillId="0" borderId="0" applyAlignment="1" pivotButton="0" quotePrefix="0" xfId="0">
      <alignment vertical="center"/>
    </xf>
    <xf numFmtId="0" fontId="17" fillId="2" borderId="29" applyAlignment="1" pivotButton="0" quotePrefix="0" xfId="0">
      <alignment horizontal="center" vertical="center"/>
    </xf>
    <xf numFmtId="0" fontId="17" fillId="2" borderId="100" applyAlignment="1" pivotButton="0" quotePrefix="0" xfId="0">
      <alignment horizontal="center" vertical="center"/>
    </xf>
    <xf numFmtId="38" fontId="13" fillId="10" borderId="31" applyAlignment="1" pivotButton="0" quotePrefix="0" xfId="0">
      <alignment vertical="center"/>
    </xf>
    <xf numFmtId="38" fontId="13" fillId="10" borderId="41" applyAlignment="1" pivotButton="0" quotePrefix="0" xfId="0">
      <alignment vertical="center"/>
    </xf>
    <xf numFmtId="38" fontId="13" fillId="10" borderId="32" applyAlignment="1" pivotButton="0" quotePrefix="0" xfId="0">
      <alignment vertical="center"/>
    </xf>
    <xf numFmtId="38" fontId="13" fillId="0" borderId="40" applyAlignment="1" pivotButton="0" quotePrefix="0" xfId="0">
      <alignment vertical="center"/>
    </xf>
    <xf numFmtId="38" fontId="13" fillId="0" borderId="37" applyAlignment="1" pivotButton="0" quotePrefix="0" xfId="0">
      <alignment vertical="center"/>
    </xf>
    <xf numFmtId="38" fontId="13" fillId="10" borderId="33" applyAlignment="1" pivotButton="0" quotePrefix="0" xfId="0">
      <alignment vertical="center"/>
    </xf>
    <xf numFmtId="38" fontId="13" fillId="10" borderId="35" applyAlignment="1" pivotButton="0" quotePrefix="0" xfId="0">
      <alignment vertical="center"/>
    </xf>
    <xf numFmtId="38" fontId="13" fillId="10" borderId="34" applyAlignment="1" pivotButton="0" quotePrefix="0" xfId="0">
      <alignment vertical="center"/>
    </xf>
    <xf numFmtId="38" fontId="13" fillId="10" borderId="118" applyAlignment="1" pivotButton="0" quotePrefix="0" xfId="0">
      <alignment vertical="center"/>
    </xf>
    <xf numFmtId="38" fontId="13" fillId="10" borderId="36" applyAlignment="1" pivotButton="0" quotePrefix="0" xfId="0">
      <alignment vertical="center"/>
    </xf>
    <xf numFmtId="38" fontId="13" fillId="10" borderId="119" applyAlignment="1" pivotButton="0" quotePrefix="0" xfId="0">
      <alignment vertical="center"/>
    </xf>
    <xf numFmtId="38" fontId="13" fillId="0" borderId="38" applyAlignment="1" pivotButton="0" quotePrefix="0" xfId="0">
      <alignment vertical="center"/>
    </xf>
    <xf numFmtId="40" fontId="20" fillId="9" borderId="0" applyAlignment="1" pivotButton="0" quotePrefix="0" xfId="0">
      <alignment vertical="center"/>
    </xf>
    <xf numFmtId="38" fontId="4" fillId="0" borderId="73" applyAlignment="1" applyProtection="1" pivotButton="0" quotePrefix="0" xfId="2">
      <alignment vertical="center"/>
      <protection locked="0" hidden="0"/>
    </xf>
    <xf numFmtId="38" fontId="4" fillId="0" borderId="74" applyAlignment="1" applyProtection="1" pivotButton="0" quotePrefix="0" xfId="2">
      <alignment vertical="center"/>
      <protection locked="0" hidden="0"/>
    </xf>
    <xf numFmtId="38" fontId="4" fillId="0" borderId="75" applyAlignment="1" applyProtection="1" pivotButton="0" quotePrefix="0" xfId="2">
      <alignment vertical="center"/>
      <protection locked="0" hidden="0"/>
    </xf>
    <xf numFmtId="38" fontId="4" fillId="0" borderId="76" applyAlignment="1" applyProtection="1" pivotButton="0" quotePrefix="0" xfId="2">
      <alignment vertical="center"/>
      <protection locked="0" hidden="0"/>
    </xf>
    <xf numFmtId="38" fontId="4" fillId="0" borderId="81" applyAlignment="1" applyProtection="1" pivotButton="0" quotePrefix="0" xfId="2">
      <alignment vertical="center"/>
      <protection locked="0" hidden="0"/>
    </xf>
    <xf numFmtId="38" fontId="4" fillId="0" borderId="82" applyAlignment="1" applyProtection="1" pivotButton="0" quotePrefix="0" xfId="2">
      <alignment vertical="center"/>
      <protection locked="0" hidden="0"/>
    </xf>
    <xf numFmtId="38" fontId="4" fillId="0" borderId="83" applyAlignment="1" applyProtection="1" pivotButton="0" quotePrefix="0" xfId="2">
      <alignment vertical="center"/>
      <protection locked="0" hidden="0"/>
    </xf>
    <xf numFmtId="38" fontId="4" fillId="0" borderId="84" applyAlignment="1" applyProtection="1" pivotButton="0" quotePrefix="0" xfId="2">
      <alignment vertical="center"/>
      <protection locked="0" hidden="0"/>
    </xf>
    <xf numFmtId="0" fontId="13" fillId="10" borderId="49" applyAlignment="1" pivotButton="0" quotePrefix="0" xfId="0">
      <alignment horizontal="center" vertical="center"/>
    </xf>
    <xf numFmtId="0" fontId="0" fillId="0" borderId="49" pivotButton="0" quotePrefix="0" xfId="0"/>
    <xf numFmtId="0" fontId="8" fillId="7" borderId="42" applyAlignment="1" pivotButton="0" quotePrefix="0" xfId="0">
      <alignment vertical="center" wrapText="1"/>
    </xf>
    <xf numFmtId="0" fontId="0" fillId="0" borderId="53" pivotButton="0" quotePrefix="0" xfId="0"/>
    <xf numFmtId="0" fontId="0" fillId="0" borderId="54" pivotButton="0" quotePrefix="0" xfId="0"/>
    <xf numFmtId="0" fontId="0" fillId="0" borderId="55" pivotButton="0" quotePrefix="0" xfId="0"/>
    <xf numFmtId="0" fontId="0" fillId="0" borderId="0" pivotButton="0" quotePrefix="0" xfId="0"/>
    <xf numFmtId="0" fontId="0" fillId="0" borderId="56" pivotButton="0" quotePrefix="0" xfId="0"/>
    <xf numFmtId="0" fontId="0" fillId="0" borderId="48" pivotButton="0" quotePrefix="0" xfId="0"/>
    <xf numFmtId="0" fontId="0" fillId="0" borderId="50" pivotButton="0" quotePrefix="0" xfId="0"/>
    <xf numFmtId="0" fontId="11" fillId="2" borderId="29" applyAlignment="1" pivotButton="0" quotePrefix="0" xfId="0">
      <alignment horizontal="center" vertical="center"/>
    </xf>
    <xf numFmtId="0" fontId="0" fillId="0" borderId="99" pivotButton="0" quotePrefix="0" xfId="0"/>
    <xf numFmtId="0" fontId="0" fillId="0" borderId="47" pivotButton="0" quotePrefix="0" xfId="0"/>
    <xf numFmtId="38" fontId="27" fillId="0" borderId="18" applyAlignment="1" pivotButton="0" quotePrefix="0" xfId="2">
      <alignment horizontal="left" vertical="center"/>
    </xf>
    <xf numFmtId="0" fontId="0" fillId="0" borderId="18" pivotButton="0" quotePrefix="0" xfId="0"/>
    <xf numFmtId="168" fontId="10" fillId="0" borderId="102" applyAlignment="1" pivotButton="0" quotePrefix="0" xfId="3">
      <alignment horizontal="center" vertical="center"/>
    </xf>
    <xf numFmtId="0" fontId="0" fillId="0" borderId="104" pivotButton="0" quotePrefix="0" xfId="0"/>
    <xf numFmtId="168" fontId="26" fillId="0" borderId="101" applyAlignment="1" pivotButton="0" quotePrefix="0" xfId="3">
      <alignment horizontal="center" vertical="center"/>
    </xf>
    <xf numFmtId="0" fontId="0" fillId="0" borderId="103" pivotButton="0" quotePrefix="0" xfId="0"/>
    <xf numFmtId="38" fontId="27" fillId="0" borderId="5" applyAlignment="1" pivotButton="0" quotePrefix="0" xfId="3">
      <alignment horizontal="left" vertical="center"/>
    </xf>
    <xf numFmtId="0" fontId="0" fillId="0" borderId="5" pivotButton="0" quotePrefix="0" xfId="0"/>
    <xf numFmtId="168" fontId="10" fillId="0" borderId="104" applyAlignment="1" pivotButton="0" quotePrefix="0" xfId="3">
      <alignment horizontal="center" vertical="center"/>
    </xf>
    <xf numFmtId="38" fontId="31" fillId="3" borderId="20" applyAlignment="1" pivotButton="0" quotePrefix="0" xfId="2">
      <alignment horizontal="center" vertical="center"/>
    </xf>
    <xf numFmtId="0" fontId="0" fillId="0" borderId="97" pivotButton="0" quotePrefix="0" xfId="0"/>
    <xf numFmtId="0" fontId="0" fillId="0" borderId="105" pivotButton="0" quotePrefix="0" xfId="0"/>
    <xf numFmtId="0" fontId="0" fillId="0" borderId="106" pivotButton="0" quotePrefix="0" xfId="0"/>
    <xf numFmtId="38" fontId="27" fillId="0" borderId="19" applyAlignment="1" pivotButton="0" quotePrefix="0" xfId="2">
      <alignment horizontal="left" vertical="center"/>
    </xf>
    <xf numFmtId="168" fontId="26" fillId="0" borderId="103" applyAlignment="1" pivotButton="0" quotePrefix="0" xfId="3">
      <alignment horizontal="center" vertical="center"/>
    </xf>
    <xf numFmtId="38" fontId="27" fillId="0" borderId="120" applyAlignment="1" pivotButton="0" quotePrefix="0" xfId="2">
      <alignment vertical="top" wrapText="1"/>
    </xf>
    <xf numFmtId="0" fontId="0" fillId="0" borderId="107"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11" pivotButton="0" quotePrefix="0" xfId="0"/>
    <xf numFmtId="168" fontId="32" fillId="0" borderId="102" applyAlignment="1" pivotButton="0" quotePrefix="0" xfId="3">
      <alignment horizontal="center" vertical="center"/>
    </xf>
    <xf numFmtId="38" fontId="31" fillId="3" borderId="20" applyAlignment="1" pivotButton="0" quotePrefix="0" xfId="2">
      <alignment horizontal="left" vertical="center"/>
    </xf>
    <xf numFmtId="38" fontId="27" fillId="0" borderId="120" applyAlignment="1" pivotButton="0" quotePrefix="0" xfId="2">
      <alignment horizontal="left" vertical="center" wrapText="1"/>
    </xf>
    <xf numFmtId="0" fontId="39" fillId="7" borderId="112" applyAlignment="1" pivotButton="0" quotePrefix="0" xfId="0">
      <alignment horizontal="center" vertical="center"/>
    </xf>
    <xf numFmtId="0" fontId="0" fillId="0" borderId="45" pivotButton="0" quotePrefix="0" xfId="0"/>
    <xf numFmtId="0" fontId="25" fillId="7" borderId="42" applyAlignment="1" pivotButton="0" quotePrefix="0" xfId="1">
      <alignment horizontal="center" vertical="center" wrapText="1"/>
    </xf>
    <xf numFmtId="0" fontId="0" fillId="0" borderId="100" pivotButton="0" quotePrefix="0" xfId="0"/>
    <xf numFmtId="0" fontId="25" fillId="7" borderId="42" applyAlignment="1" pivotButton="0" quotePrefix="0" xfId="1">
      <alignment horizontal="center" vertical="center"/>
    </xf>
    <xf numFmtId="0" fontId="39" fillId="7" borderId="113" applyAlignment="1" pivotButton="0" quotePrefix="0" xfId="0">
      <alignment horizontal="center" vertical="center"/>
    </xf>
    <xf numFmtId="0" fontId="0" fillId="0" borderId="121" pivotButton="0" quotePrefix="0" xfId="0"/>
    <xf numFmtId="0" fontId="38" fillId="2"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165" fontId="13" fillId="0" borderId="0" applyAlignment="1" pivotButton="0" quotePrefix="0" xfId="0">
      <alignment vertical="center"/>
    </xf>
    <xf numFmtId="166" fontId="13" fillId="0" borderId="0" applyAlignment="1" pivotButton="0" quotePrefix="0" xfId="0">
      <alignment vertical="center"/>
    </xf>
    <xf numFmtId="167" fontId="13" fillId="0" borderId="0" applyAlignment="1" pivotButton="0" quotePrefix="0" xfId="0">
      <alignment vertical="center"/>
    </xf>
    <xf numFmtId="168" fontId="22" fillId="0" borderId="1" applyAlignment="1" pivotButton="0" quotePrefix="0" xfId="3">
      <alignment horizontal="center" vertical="center"/>
    </xf>
    <xf numFmtId="168" fontId="22" fillId="0" borderId="1" applyAlignment="1" pivotButton="0" quotePrefix="1" xfId="3">
      <alignment horizontal="center" vertical="center"/>
    </xf>
    <xf numFmtId="168" fontId="22" fillId="0" borderId="24" applyAlignment="1" pivotButton="0" quotePrefix="1" xfId="3">
      <alignment horizontal="center" vertical="center"/>
    </xf>
    <xf numFmtId="168" fontId="10" fillId="0" borderId="104" applyAlignment="1" pivotButton="0" quotePrefix="0" xfId="3">
      <alignment horizontal="center" vertical="center"/>
    </xf>
    <xf numFmtId="168" fontId="10" fillId="0" borderId="102" applyAlignment="1" pivotButton="0" quotePrefix="0" xfId="3">
      <alignment horizontal="center" vertical="center"/>
    </xf>
    <xf numFmtId="168" fontId="26" fillId="0" borderId="103" applyAlignment="1" pivotButton="0" quotePrefix="0" xfId="3">
      <alignment horizontal="center" vertical="center"/>
    </xf>
    <xf numFmtId="168" fontId="26" fillId="0" borderId="101" applyAlignment="1" pivotButton="0" quotePrefix="0" xfId="3">
      <alignment horizontal="center" vertical="center"/>
    </xf>
    <xf numFmtId="164" fontId="27" fillId="10" borderId="11" applyAlignment="1" pivotButton="0" quotePrefix="0" xfId="2">
      <alignment vertical="center"/>
    </xf>
    <xf numFmtId="164" fontId="27" fillId="10" borderId="65" applyAlignment="1" applyProtection="1" pivotButton="0" quotePrefix="0" xfId="2">
      <alignment vertical="center"/>
      <protection locked="0" hidden="0"/>
    </xf>
    <xf numFmtId="164" fontId="27" fillId="10" borderId="0" applyAlignment="1" pivotButton="0" quotePrefix="0" xfId="2">
      <alignment vertical="center"/>
    </xf>
    <xf numFmtId="164" fontId="27" fillId="10" borderId="12" applyAlignment="1" pivotButton="0" quotePrefix="0" xfId="2">
      <alignment horizontal="right" vertical="center"/>
    </xf>
    <xf numFmtId="164" fontId="27" fillId="10" borderId="63" applyAlignment="1" pivotButton="0" quotePrefix="0" xfId="2">
      <alignment vertical="center"/>
    </xf>
    <xf numFmtId="164" fontId="27" fillId="10" borderId="67" applyAlignment="1" applyProtection="1" pivotButton="0" quotePrefix="0" xfId="2">
      <alignment vertical="center"/>
      <protection locked="0" hidden="0"/>
    </xf>
    <xf numFmtId="164" fontId="29" fillId="10" borderId="98" applyAlignment="1" pivotButton="0" quotePrefix="0" xfId="3">
      <alignment horizontal="left" vertical="center"/>
    </xf>
    <xf numFmtId="164" fontId="27" fillId="10" borderId="13" applyAlignment="1" pivotButton="0" quotePrefix="0" xfId="2">
      <alignment vertical="center"/>
    </xf>
    <xf numFmtId="164" fontId="27" fillId="10" borderId="69" applyAlignment="1" applyProtection="1" pivotButton="0" quotePrefix="0" xfId="2">
      <alignment vertical="center"/>
      <protection locked="0" hidden="0"/>
    </xf>
    <xf numFmtId="164" fontId="27" fillId="10" borderId="12" applyAlignment="1" pivotButton="0" quotePrefix="0" xfId="2">
      <alignment horizontal="right" vertical="center" wrapText="1"/>
    </xf>
    <xf numFmtId="164" fontId="27" fillId="10" borderId="14" applyAlignment="1" pivotButton="0" quotePrefix="0" xfId="2">
      <alignment horizontal="center" vertical="center"/>
    </xf>
    <xf numFmtId="164" fontId="27" fillId="10" borderId="71" applyAlignment="1" pivotButton="0" quotePrefix="0" xfId="2">
      <alignment vertical="center"/>
    </xf>
    <xf numFmtId="164" fontId="27" fillId="10" borderId="15" applyAlignment="1" pivotButton="0" quotePrefix="0" xfId="2">
      <alignment horizontal="center" vertical="center"/>
    </xf>
    <xf numFmtId="164" fontId="27" fillId="10" borderId="70" applyAlignment="1" pivotButton="0" quotePrefix="0" xfId="2">
      <alignment vertical="center"/>
    </xf>
    <xf numFmtId="164" fontId="4" fillId="10" borderId="12" applyAlignment="1" applyProtection="1" pivotButton="0" quotePrefix="0" xfId="2">
      <alignment vertical="center"/>
      <protection locked="0" hidden="0"/>
    </xf>
    <xf numFmtId="164" fontId="4" fillId="10" borderId="61" applyAlignment="1" applyProtection="1" pivotButton="0" quotePrefix="0" xfId="2">
      <alignment vertical="center"/>
      <protection locked="0" hidden="0"/>
    </xf>
    <xf numFmtId="164" fontId="4" fillId="10" borderId="62" applyAlignment="1" applyProtection="1" pivotButton="0" quotePrefix="0" xfId="2">
      <alignment vertical="center"/>
      <protection locked="0" hidden="0"/>
    </xf>
    <xf numFmtId="164" fontId="30" fillId="10" borderId="62" applyAlignment="1" applyProtection="1" pivotButton="0" quotePrefix="0" xfId="2">
      <alignment vertical="center"/>
      <protection locked="0" hidden="0"/>
    </xf>
    <xf numFmtId="164" fontId="4" fillId="10" borderId="63" applyAlignment="1" applyProtection="1" pivotButton="0" quotePrefix="0" xfId="2">
      <alignment vertical="center"/>
      <protection locked="0" hidden="0"/>
    </xf>
    <xf numFmtId="164" fontId="4" fillId="11" borderId="114" applyAlignment="1" applyProtection="1" pivotButton="0" quotePrefix="0" xfId="0">
      <alignment vertical="center"/>
      <protection locked="0" hidden="0"/>
    </xf>
    <xf numFmtId="164" fontId="4" fillId="10" borderId="73" applyAlignment="1" applyProtection="1" pivotButton="0" quotePrefix="0" xfId="2">
      <alignment vertical="center"/>
      <protection locked="0" hidden="0"/>
    </xf>
    <xf numFmtId="164" fontId="4" fillId="10" borderId="74" applyAlignment="1" applyProtection="1" pivotButton="0" quotePrefix="0" xfId="2">
      <alignment vertical="center"/>
      <protection locked="0" hidden="0"/>
    </xf>
    <xf numFmtId="164" fontId="19" fillId="10" borderId="75" applyAlignment="1" applyProtection="1" pivotButton="0" quotePrefix="0" xfId="2">
      <alignment vertical="center"/>
      <protection locked="0" hidden="0"/>
    </xf>
    <xf numFmtId="164" fontId="4" fillId="10" borderId="75" applyAlignment="1" applyProtection="1" pivotButton="0" quotePrefix="0" xfId="2">
      <alignment vertical="center"/>
      <protection locked="0" hidden="0"/>
    </xf>
    <xf numFmtId="164" fontId="30" fillId="10" borderId="75" applyAlignment="1" applyProtection="1" pivotButton="0" quotePrefix="0" xfId="2">
      <alignment vertical="center"/>
      <protection locked="0" hidden="0"/>
    </xf>
    <xf numFmtId="164" fontId="4" fillId="10" borderId="76" applyAlignment="1" applyProtection="1" pivotButton="0" quotePrefix="0" xfId="2">
      <alignment vertical="center"/>
      <protection locked="0" hidden="0"/>
    </xf>
    <xf numFmtId="164" fontId="4" fillId="10" borderId="77" applyAlignment="1" pivotButton="0" quotePrefix="0" xfId="2">
      <alignment vertical="center"/>
    </xf>
    <xf numFmtId="164" fontId="4" fillId="10" borderId="78" applyAlignment="1" pivotButton="0" quotePrefix="0" xfId="2">
      <alignment vertical="center"/>
    </xf>
    <xf numFmtId="164" fontId="4" fillId="10" borderId="80" applyAlignment="1" pivotButton="0" quotePrefix="0" xfId="2">
      <alignment vertical="center"/>
    </xf>
    <xf numFmtId="164" fontId="4" fillId="10" borderId="81" applyAlignment="1" applyProtection="1" pivotButton="0" quotePrefix="0" xfId="2">
      <alignment vertical="center"/>
      <protection locked="0" hidden="0"/>
    </xf>
    <xf numFmtId="164" fontId="4" fillId="10" borderId="82" applyAlignment="1" applyProtection="1" pivotButton="0" quotePrefix="0" xfId="2">
      <alignment vertical="center"/>
      <protection locked="0" hidden="0"/>
    </xf>
    <xf numFmtId="164" fontId="4" fillId="10" borderId="83" applyAlignment="1" applyProtection="1" pivotButton="0" quotePrefix="0" xfId="2">
      <alignment vertical="center"/>
      <protection locked="0" hidden="0"/>
    </xf>
    <xf numFmtId="164" fontId="19" fillId="10" borderId="83" applyAlignment="1" applyProtection="1" pivotButton="0" quotePrefix="0" xfId="2">
      <alignment vertical="center"/>
      <protection locked="0" hidden="0"/>
    </xf>
    <xf numFmtId="164" fontId="30" fillId="10" borderId="83" applyAlignment="1" applyProtection="1" pivotButton="0" quotePrefix="0" xfId="2">
      <alignment vertical="center"/>
      <protection locked="0" hidden="0"/>
    </xf>
    <xf numFmtId="164" fontId="4" fillId="10" borderId="84" applyAlignment="1" applyProtection="1" pivotButton="0" quotePrefix="0" xfId="2">
      <alignment vertical="center"/>
      <protection locked="0" hidden="0"/>
    </xf>
    <xf numFmtId="169" fontId="27" fillId="0" borderId="0" applyAlignment="1" pivotButton="0" quotePrefix="0" xfId="2">
      <alignment vertical="center"/>
    </xf>
    <xf numFmtId="164" fontId="4" fillId="10" borderId="62" applyAlignment="1" applyProtection="1" pivotButton="0" quotePrefix="1" xfId="2">
      <alignment vertical="center"/>
      <protection locked="0" hidden="0"/>
    </xf>
    <xf numFmtId="164" fontId="19" fillId="10" borderId="62" applyAlignment="1" applyProtection="1" pivotButton="0" quotePrefix="0" xfId="2">
      <alignment vertical="center"/>
      <protection locked="0" hidden="0"/>
    </xf>
    <xf numFmtId="164" fontId="19" fillId="10" borderId="12" applyAlignment="1" applyProtection="1" pivotButton="0" quotePrefix="0" xfId="2">
      <alignment vertical="center"/>
      <protection locked="0" hidden="0"/>
    </xf>
    <xf numFmtId="164" fontId="25" fillId="10" borderId="62" applyAlignment="1" applyProtection="1" pivotButton="0" quotePrefix="0" xfId="1">
      <alignment vertical="center"/>
      <protection locked="0" hidden="0"/>
    </xf>
    <xf numFmtId="164" fontId="4" fillId="10" borderId="61" applyAlignment="1" applyProtection="1" pivotButton="0" quotePrefix="1" xfId="2">
      <alignment vertical="center"/>
      <protection locked="0" hidden="0"/>
    </xf>
    <xf numFmtId="164" fontId="4" fillId="10" borderId="86" applyAlignment="1" applyProtection="1" pivotButton="0" quotePrefix="0" xfId="2">
      <alignment vertical="center"/>
      <protection locked="0" hidden="0"/>
    </xf>
    <xf numFmtId="164" fontId="4" fillId="10" borderId="87" applyAlignment="1" applyProtection="1" pivotButton="0" quotePrefix="0" xfId="2">
      <alignment vertical="center"/>
      <protection locked="0" hidden="0"/>
    </xf>
    <xf numFmtId="164" fontId="4" fillId="10" borderId="88" applyAlignment="1" applyProtection="1" pivotButton="0" quotePrefix="0" xfId="2">
      <alignment vertical="center"/>
      <protection locked="0" hidden="0"/>
    </xf>
    <xf numFmtId="164" fontId="4" fillId="10" borderId="89" applyAlignment="1" applyProtection="1" pivotButton="0" quotePrefix="0" xfId="2">
      <alignment vertical="center"/>
      <protection locked="0" hidden="0"/>
    </xf>
    <xf numFmtId="164" fontId="30" fillId="10" borderId="88" applyAlignment="1" applyProtection="1" pivotButton="0" quotePrefix="0" xfId="2">
      <alignment vertical="center"/>
      <protection locked="0" hidden="0"/>
    </xf>
    <xf numFmtId="164" fontId="4" fillId="10" borderId="79" applyAlignment="1" pivotButton="0" quotePrefix="0" xfId="2">
      <alignment vertical="center"/>
    </xf>
    <xf numFmtId="164" fontId="4" fillId="10" borderId="90" applyAlignment="1" applyProtection="1" pivotButton="0" quotePrefix="0" xfId="2">
      <alignment vertical="center"/>
      <protection locked="0" hidden="0"/>
    </xf>
    <xf numFmtId="164" fontId="4" fillId="10" borderId="91" applyAlignment="1" applyProtection="1" pivotButton="0" quotePrefix="0" xfId="2">
      <alignment vertical="center"/>
      <protection locked="0" hidden="0"/>
    </xf>
    <xf numFmtId="164" fontId="4" fillId="10" borderId="92" applyAlignment="1" applyProtection="1" pivotButton="0" quotePrefix="0" xfId="2">
      <alignment vertical="center"/>
      <protection locked="0" hidden="0"/>
    </xf>
    <xf numFmtId="164" fontId="4" fillId="10" borderId="93" applyAlignment="1" applyProtection="1" pivotButton="0" quotePrefix="0" xfId="2">
      <alignment vertical="center"/>
      <protection locked="0" hidden="0"/>
    </xf>
    <xf numFmtId="164" fontId="4" fillId="10" borderId="94" applyAlignment="1" pivotButton="0" quotePrefix="0" xfId="2">
      <alignment vertical="center"/>
    </xf>
    <xf numFmtId="164" fontId="4" fillId="10" borderId="95" applyAlignment="1" pivotButton="0" quotePrefix="0" xfId="2">
      <alignment vertical="center"/>
    </xf>
    <xf numFmtId="164" fontId="4" fillId="10" borderId="96" applyAlignment="1" pivotButton="0" quotePrefix="0" xfId="2">
      <alignment vertical="center"/>
    </xf>
    <xf numFmtId="170" fontId="27" fillId="0" borderId="0" applyAlignment="1" pivotButton="0" quotePrefix="0" xfId="2">
      <alignment vertical="center"/>
    </xf>
    <xf numFmtId="164" fontId="27" fillId="10" borderId="68" applyAlignment="1" applyProtection="1" pivotButton="0" quotePrefix="0" xfId="2">
      <alignment vertical="center"/>
      <protection locked="0" hidden="0"/>
    </xf>
    <xf numFmtId="168" fontId="32" fillId="0" borderId="102" applyAlignment="1" pivotButton="0" quotePrefix="0" xfId="3">
      <alignment horizontal="center" vertical="center"/>
    </xf>
    <xf numFmtId="164" fontId="4" fillId="10" borderId="75" applyAlignment="1" applyProtection="1" pivotButton="0" quotePrefix="1" xfId="2">
      <alignment vertical="center"/>
      <protection locked="0" hidden="0"/>
    </xf>
    <xf numFmtId="171" fontId="9" fillId="0" borderId="0" applyAlignment="1" pivotButton="0" quotePrefix="0" xfId="2">
      <alignment vertical="center"/>
    </xf>
    <xf numFmtId="172" fontId="33" fillId="0" borderId="0" pivotButton="0" quotePrefix="0" xfId="5"/>
    <xf numFmtId="172" fontId="34" fillId="0" borderId="0" pivotButton="0" quotePrefix="0" xfId="5"/>
    <xf numFmtId="171" fontId="34" fillId="0" borderId="0" pivotButton="0" quotePrefix="0" xfId="4"/>
    <xf numFmtId="164" fontId="27" fillId="10" borderId="64" applyAlignment="1" applyProtection="1" pivotButton="0" quotePrefix="0" xfId="2">
      <alignment vertical="center"/>
      <protection locked="0" hidden="0"/>
    </xf>
    <xf numFmtId="164" fontId="27" fillId="10" borderId="66" applyAlignment="1" applyProtection="1" pivotButton="0" quotePrefix="0" xfId="2">
      <alignment vertical="center"/>
      <protection locked="0" hidden="0"/>
    </xf>
    <xf numFmtId="164" fontId="27" fillId="10" borderId="67" applyAlignment="1" applyProtection="1" pivotButton="0" quotePrefix="1" xfId="2">
      <alignment vertical="center"/>
      <protection locked="0" hidden="0"/>
    </xf>
    <xf numFmtId="173" fontId="9" fillId="0" borderId="0" applyAlignment="1" pivotButton="0" quotePrefix="0" xfId="0">
      <alignment vertical="center"/>
    </xf>
    <xf numFmtId="164" fontId="27" fillId="10" borderId="65" applyAlignment="1" applyProtection="1" pivotButton="0" quotePrefix="0" xfId="2">
      <alignment horizontal="left" vertical="center"/>
      <protection locked="0" hidden="0"/>
    </xf>
    <xf numFmtId="164" fontId="27" fillId="10" borderId="0" applyAlignment="1" pivotButton="0" quotePrefix="0" xfId="2">
      <alignment horizontal="left" vertical="center"/>
    </xf>
    <xf numFmtId="164" fontId="27" fillId="10" borderId="12" applyAlignment="1" pivotButton="0" quotePrefix="0" xfId="2">
      <alignment horizontal="left" vertical="center"/>
    </xf>
    <xf numFmtId="164" fontId="27" fillId="10" borderId="63" applyAlignment="1" pivotButton="0" quotePrefix="0" xfId="2">
      <alignment horizontal="left" vertical="center"/>
    </xf>
    <xf numFmtId="164" fontId="27" fillId="10" borderId="67" applyAlignment="1" applyProtection="1" pivotButton="0" quotePrefix="0" xfId="2">
      <alignment horizontal="left" vertical="center"/>
      <protection locked="0" hidden="0"/>
    </xf>
    <xf numFmtId="164" fontId="29" fillId="10" borderId="13" applyAlignment="1" pivotButton="0" quotePrefix="0" xfId="2">
      <alignment vertical="center"/>
    </xf>
    <xf numFmtId="164" fontId="27" fillId="10" borderId="69" applyAlignment="1" applyProtection="1" pivotButton="0" quotePrefix="0" xfId="2">
      <alignment horizontal="left" vertical="center"/>
      <protection locked="0" hidden="0"/>
    </xf>
    <xf numFmtId="164" fontId="27" fillId="10" borderId="12" applyAlignment="1" pivotButton="0" quotePrefix="0" xfId="2">
      <alignment horizontal="left" vertical="center" wrapText="1"/>
    </xf>
    <xf numFmtId="164" fontId="27" fillId="10" borderId="71" applyAlignment="1" pivotButton="0" quotePrefix="0" xfId="2">
      <alignment horizontal="left" vertical="center"/>
    </xf>
    <xf numFmtId="164" fontId="27" fillId="10" borderId="15" applyAlignment="1" pivotButton="0" quotePrefix="0" xfId="2">
      <alignment horizontal="left" vertical="center"/>
    </xf>
    <xf numFmtId="164" fontId="27" fillId="10" borderId="70" applyAlignment="1" pivotButton="0" quotePrefix="0" xfId="2">
      <alignment horizontal="left" vertical="center"/>
    </xf>
    <xf numFmtId="164" fontId="4" fillId="10" borderId="61" applyAlignment="1" applyProtection="1" pivotButton="0" quotePrefix="0" xfId="2">
      <alignment horizontal="left" vertical="center"/>
      <protection locked="0" hidden="0"/>
    </xf>
    <xf numFmtId="164" fontId="4" fillId="10" borderId="78" applyAlignment="1" pivotButton="0" quotePrefix="0" xfId="2">
      <alignment horizontal="left" vertical="center"/>
    </xf>
    <xf numFmtId="170" fontId="36" fillId="0" borderId="0" applyAlignment="1" pivotButton="0" quotePrefix="0" xfId="2">
      <alignment vertical="center"/>
    </xf>
    <xf numFmtId="164" fontId="27" fillId="10" borderId="65" applyAlignment="1" applyProtection="1" pivotButton="0" quotePrefix="1" xfId="2">
      <alignment vertical="center"/>
      <protection locked="0" hidden="0"/>
    </xf>
    <xf numFmtId="164" fontId="29" fillId="10" borderId="11" applyAlignment="1" pivotButton="0" quotePrefix="0" xfId="2">
      <alignment vertical="center"/>
    </xf>
    <xf numFmtId="171" fontId="9" fillId="0" borderId="0" pivotButton="0" quotePrefix="0" xfId="0"/>
    <xf numFmtId="172" fontId="9" fillId="0" borderId="0" pivotButton="0" quotePrefix="0" xfId="5"/>
    <xf numFmtId="167" fontId="27" fillId="0" borderId="0" applyAlignment="1" pivotButton="0" quotePrefix="0" xfId="2">
      <alignment vertical="center"/>
    </xf>
    <xf numFmtId="174" fontId="41" fillId="0" borderId="31" applyAlignment="1" pivotButton="0" quotePrefix="0" xfId="0">
      <alignment horizontal="center" vertical="center"/>
    </xf>
    <xf numFmtId="174" fontId="42" fillId="0" borderId="31" applyAlignment="1" pivotButton="0" quotePrefix="0" xfId="0">
      <alignment horizontal="center" vertical="center"/>
    </xf>
    <xf numFmtId="174" fontId="41" fillId="0" borderId="33" applyAlignment="1" pivotButton="0" quotePrefix="0" xfId="0">
      <alignment horizontal="center" vertical="center"/>
    </xf>
    <xf numFmtId="174" fontId="42" fillId="0" borderId="33" applyAlignment="1" pivotButton="0" quotePrefix="0" xfId="0">
      <alignment horizontal="center" vertical="center"/>
    </xf>
    <xf numFmtId="174" fontId="41" fillId="0" borderId="51" applyAlignment="1" pivotButton="0" quotePrefix="0" xfId="0">
      <alignment horizontal="center" vertical="center"/>
    </xf>
    <xf numFmtId="174" fontId="42" fillId="0" borderId="51" applyAlignment="1" pivotButton="0" quotePrefix="0" xfId="0">
      <alignment horizontal="center" vertical="center"/>
    </xf>
    <xf numFmtId="0" fontId="46" fillId="0" borderId="0" applyAlignment="1" pivotButton="0" quotePrefix="0" xfId="0">
      <alignment horizontal="left" vertical="center"/>
    </xf>
    <xf numFmtId="40" fontId="46" fillId="14" borderId="0" applyAlignment="1" pivotButton="0" quotePrefix="0" xfId="0">
      <alignment horizontal="left" vertical="center"/>
    </xf>
    <xf numFmtId="0" fontId="44" fillId="12" borderId="0" applyAlignment="1" pivotButton="0" quotePrefix="0" xfId="0">
      <alignment horizontal="left" vertical="center" wrapText="1"/>
    </xf>
    <xf numFmtId="0" fontId="45" fillId="13" borderId="130" applyAlignment="1" pivotButton="0" quotePrefix="0" xfId="0">
      <alignment horizontal="center" vertical="center" wrapText="1"/>
    </xf>
    <xf numFmtId="0" fontId="0" fillId="13" borderId="130" applyAlignment="1" pivotButton="0" quotePrefix="0" xfId="0">
      <alignment horizontal="center" vertical="center" wrapText="1"/>
    </xf>
    <xf numFmtId="38" fontId="44" fillId="12" borderId="0" applyAlignment="1" pivotButton="0" quotePrefix="0" xfId="2">
      <alignment horizontal="left" vertical="center" wrapText="1"/>
    </xf>
    <xf numFmtId="38" fontId="45" fillId="13" borderId="130" applyAlignment="1" pivotButton="0" quotePrefix="0" xfId="2">
      <alignment horizontal="center" vertical="center" wrapText="1"/>
    </xf>
    <xf numFmtId="14" fontId="45" fillId="13" borderId="130" applyAlignment="1" pivotButton="0" quotePrefix="0" xfId="0">
      <alignment horizontal="center" vertical="center" wrapText="1"/>
    </xf>
    <xf numFmtId="40" fontId="45" fillId="13" borderId="130" applyAlignment="1" pivotButton="0" quotePrefix="0" xfId="0">
      <alignment horizontal="center" vertical="center" wrapText="1"/>
    </xf>
    <xf numFmtId="14" fontId="44" fillId="12" borderId="0" applyAlignment="1" pivotButton="0" quotePrefix="0" xfId="0">
      <alignment horizontal="left" vertical="center" wrapText="1"/>
    </xf>
    <xf numFmtId="38" fontId="45" fillId="13" borderId="130" applyAlignment="1" pivotButton="0" quotePrefix="0" xfId="3">
      <alignment horizontal="center" vertical="center" wrapText="1"/>
    </xf>
    <xf numFmtId="0" fontId="0" fillId="0" borderId="0" applyAlignment="1" pivotButton="0" quotePrefix="0" xfId="0">
      <alignment vertical="center" wrapText="1"/>
    </xf>
    <xf numFmtId="0" fontId="47" fillId="0" borderId="0" applyAlignment="1" pivotButton="0" quotePrefix="0" xfId="0">
      <alignment vertical="center" wrapText="1"/>
    </xf>
    <xf numFmtId="0" fontId="0" fillId="0" borderId="133" pivotButton="0" quotePrefix="0" xfId="0"/>
    <xf numFmtId="0" fontId="0" fillId="0" borderId="134" pivotButton="0" quotePrefix="0" xfId="0"/>
    <xf numFmtId="40" fontId="0" fillId="0" borderId="0" pivotButton="0" quotePrefix="0" xfId="0"/>
    <xf numFmtId="40" fontId="33" fillId="0" borderId="0" pivotButton="0" quotePrefix="0" xfId="0"/>
    <xf numFmtId="40" fontId="9" fillId="0" borderId="0" pivotButton="0" quotePrefix="1" xfId="0"/>
    <xf numFmtId="0" fontId="47" fillId="0" borderId="0" applyAlignment="1" pivotButton="0" quotePrefix="0" xfId="0">
      <alignment horizontal="center" vertical="center" wrapText="1"/>
    </xf>
    <xf numFmtId="0" fontId="0" fillId="0" borderId="0" applyAlignment="1" pivotButton="0" quotePrefix="0" xfId="0">
      <alignment vertical="top" wrapText="1"/>
    </xf>
    <xf numFmtId="0" fontId="45" fillId="13" borderId="0" applyAlignment="1" pivotButton="0" quotePrefix="0" xfId="0">
      <alignment horizontal="center" vertical="center" wrapText="1"/>
    </xf>
  </cellXfs>
  <cellStyles count="7">
    <cellStyle name="Normal" xfId="0" builtinId="0"/>
    <cellStyle name="Hyperlink" xfId="1" builtinId="8"/>
    <cellStyle name="Comma" xfId="2" builtinId="3"/>
    <cellStyle name="Comma [0]" xfId="3" builtinId="6"/>
    <cellStyle name="Normal 2" xfId="4"/>
    <cellStyle name="Comma 2" xfId="5"/>
    <cellStyle name="Followed Hyperlink" xfId="6" builtinId="9" hidden="1"/>
  </cellStyles>
  <dxfs count="644">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2"/>
        <extend val="0"/>
      </font>
    </dxf>
    <dxf>
      <font>
        <condense val="0"/>
        <color indexed="10"/>
        <extend val="0"/>
      </font>
    </dxf>
    <dxf>
      <font>
        <condense val="0"/>
        <color indexed="10"/>
        <extend val="0"/>
      </font>
    </dxf>
    <dxf>
      <font>
        <condense val="0"/>
        <color indexed="12"/>
        <extend val="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Author</author>
  </authors>
  <commentList>
    <comment ref="F5" authorId="0" shapeId="0">
      <text>
        <t>Please fill in this cell. All other sheets adjust their dates automatically.</t>
      </text>
    </comment>
  </commentList>
</comments>
</file>

<file path=xl/comments/comment2.xml><?xml version="1.0" encoding="utf-8"?>
<comments xmlns="http://schemas.openxmlformats.org/spreadsheetml/2006/main">
  <authors>
    <author>Author</author>
  </authors>
  <commentList>
    <comment ref="B2" authorId="0" shapeId="0">
      <text>
        <t>Light grey cells - do not change!</t>
      </text>
    </comment>
  </commentList>
</comments>
</file>

<file path=xl/comments/comment3.xml><?xml version="1.0" encoding="utf-8"?>
<comments xmlns="http://schemas.openxmlformats.org/spreadsheetml/2006/main">
  <authors>
    <author>Author</author>
  </authors>
  <commentList>
    <comment ref="B2" authorId="0" shapeId="0">
      <text>
        <t>Light grey cells - do not change!</t>
      </text>
    </comment>
  </commentList>
</comments>
</file>

<file path=xl/comments/comment4.xml><?xml version="1.0" encoding="utf-8"?>
<comments xmlns="http://schemas.openxmlformats.org/spreadsheetml/2006/main">
  <authors>
    <author>Author</author>
  </authors>
  <commentList>
    <comment ref="B2" authorId="0" shapeId="0">
      <text>
        <t>Light grey cells - do not change!</t>
      </text>
    </comment>
  </commentList>
</comments>
</file>

<file path=xl/comments/comment5.xml><?xml version="1.0" encoding="utf-8"?>
<comments xmlns="http://schemas.openxmlformats.org/spreadsheetml/2006/main">
  <authors>
    <author>Author</author>
  </authors>
  <commentList>
    <comment ref="B2" authorId="0" shapeId="0">
      <text>
        <t>Light grey cells - do not change!</t>
      </text>
    </comment>
  </commentList>
</comments>
</file>

<file path=xl/comments/comment6.xml><?xml version="1.0" encoding="utf-8"?>
<comments xmlns="http://schemas.openxmlformats.org/spreadsheetml/2006/main">
  <authors>
    <author>Author</author>
  </authors>
  <commentList>
    <comment ref="B2" authorId="0" shapeId="0">
      <text>
        <t>Light grey cells - do not change!</t>
      </text>
    </comment>
  </commentList>
</comments>
</file>

<file path=xl/comments/comment7.xml><?xml version="1.0" encoding="utf-8"?>
<comments xmlns="http://schemas.openxmlformats.org/spreadsheetml/2006/main">
  <authors>
    <author>Author</author>
  </authors>
  <commentList>
    <comment ref="B2" authorId="0" shapeId="0">
      <text>
        <t>Light grey cells - do not change!</t>
      </text>
    </comment>
  </commentList>
</comments>
</file>

<file path=xl/comments/comment8.xml><?xml version="1.0" encoding="utf-8"?>
<comments xmlns="http://schemas.openxmlformats.org/spreadsheetml/2006/main">
  <authors>
    <author>Author</author>
  </authors>
  <commentList>
    <comment ref="B2" authorId="0" shapeId="0">
      <text>
        <t>Light grey cells - do not change!</t>
      </text>
    </comment>
  </commentList>
</comments>
</file>

<file path=xl/comments/comment9.xml><?xml version="1.0" encoding="utf-8"?>
<comments xmlns="http://schemas.openxmlformats.org/spreadsheetml/2006/main">
  <authors>
    <author>Author</author>
  </authors>
  <commentList>
    <comment ref="B2" authorId="0" shapeId="0">
      <text>
        <t>Light grey cells - do not change!</t>
      </text>
    </comment>
  </commentList>
</comments>
</file>

<file path=xl/comments/comment10.xml><?xml version="1.0" encoding="utf-8"?>
<comments xmlns="http://schemas.openxmlformats.org/spreadsheetml/2006/main">
  <authors>
    <author>Author</author>
  </authors>
  <commentList>
    <comment ref="B2" authorId="0" shapeId="0">
      <text>
        <t>Light grey cells - do not change!</t>
      </text>
    </comment>
  </commentList>
</comments>
</file>

<file path=xl/comments/comment11.xml><?xml version="1.0" encoding="utf-8"?>
<comments xmlns="http://schemas.openxmlformats.org/spreadsheetml/2006/main">
  <authors>
    <author>Author</author>
  </authors>
  <commentList>
    <comment ref="B2" authorId="0" shapeId="0">
      <text>
        <t>Light grey cells - do not change!</t>
      </text>
    </comment>
  </commentList>
</comments>
</file>

<file path=xl/comments/comment12.xml><?xml version="1.0" encoding="utf-8"?>
<comments xmlns="http://schemas.openxmlformats.org/spreadsheetml/2006/main">
  <authors>
    <author>Author</author>
  </authors>
  <commentList>
    <comment ref="B2" authorId="0" shapeId="0">
      <text>
        <t>Light grey cells - do not change!</t>
      </text>
    </comment>
  </commentList>
</comments>
</file>

<file path=xl/comments/comment13.xml><?xml version="1.0" encoding="utf-8"?>
<comments xmlns="http://schemas.openxmlformats.org/spreadsheetml/2006/main">
  <authors>
    <author>Author</author>
  </authors>
  <commentList>
    <comment ref="B2" authorId="0" shapeId="0">
      <text>
        <t>Light grey cells - do not change!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tabColor indexed="12"/>
    <outlinePr summaryBelow="1" summaryRight="1"/>
    <pageSetUpPr/>
  </sheetPr>
  <dimension ref="B2:IV126"/>
  <sheetViews>
    <sheetView showGridLines="0" tabSelected="1" zoomScale="80" workbookViewId="0">
      <selection activeCell="S45" sqref="S45"/>
    </sheetView>
  </sheetViews>
  <sheetFormatPr baseColWidth="8" defaultColWidth="8.90625" defaultRowHeight="13"/>
  <cols>
    <col width="1.08984375" customWidth="1" style="304" min="1" max="1"/>
    <col width="30" customWidth="1" style="304" min="2" max="2"/>
    <col width="11.08984375" customWidth="1" style="304" min="3" max="3"/>
    <col width="9.7265625" customWidth="1" style="304" min="4" max="4"/>
    <col width="8.6328125" customWidth="1" style="304" min="5" max="8"/>
    <col width="7.6328125" customWidth="1" style="304" min="9" max="9"/>
    <col width="9.26953125" customWidth="1" style="304" min="10" max="10"/>
    <col width="8.6328125" customWidth="1" style="304" min="11" max="12"/>
    <col width="11.453125" customWidth="1" style="304" min="13" max="13"/>
    <col width="8.6328125" customWidth="1" style="304" min="14" max="14"/>
    <col width="17.36328125" customWidth="1" style="304" min="15" max="15"/>
    <col width="24.26953125" customWidth="1" style="304" min="16" max="16"/>
    <col width="8.90625" customWidth="1" style="304" min="17" max="17"/>
    <col width="32" customWidth="1" style="304" min="18" max="18"/>
    <col width="9.08984375" customWidth="1" style="304" min="19" max="19"/>
    <col width="9" customWidth="1" style="304" min="20" max="29"/>
    <col width="8.90625" customWidth="1" style="304" min="30" max="32"/>
    <col width="8.90625" customWidth="1" style="304" min="33" max="16384"/>
  </cols>
  <sheetData>
    <row r="1" ht="15.75" customHeight="1" s="304"/>
    <row r="2" ht="15.5" customHeight="1" s="304">
      <c r="B2" s="300" t="inlineStr">
        <is>
          <t>Family Book v2.0 by SkybatanX: a yearly family income &amp; expense book run by your personal Grok Bot.
The bot sets up each year's book and logs spending from card statements, bank transactions when you share them, and receipts.
Each month keeps the number grid, then a Transactions section and a Receipts section. The same purchase is never added twice.
Follow @SkyXFunNext on X for more templates and fun!</t>
        </is>
      </c>
      <c r="C2" s="301" t="n"/>
      <c r="D2" s="301" t="n"/>
      <c r="E2" s="301" t="n"/>
      <c r="F2" s="301" t="n"/>
      <c r="G2" s="301" t="n"/>
      <c r="H2" s="301" t="n"/>
      <c r="I2" s="301" t="n"/>
      <c r="J2" s="301" t="n"/>
      <c r="K2" s="301" t="n"/>
      <c r="L2" s="301" t="n"/>
      <c r="M2" s="301" t="n"/>
      <c r="N2" s="301" t="n"/>
      <c r="O2" s="301" t="n"/>
      <c r="P2" s="302" t="n"/>
      <c r="Q2" s="63" t="n"/>
    </row>
    <row r="3" ht="15.5" customHeight="1" s="304">
      <c r="B3" s="303" t="n"/>
      <c r="P3" s="305" t="n"/>
      <c r="Q3" s="63" t="n"/>
    </row>
    <row r="4" ht="15.75" customHeight="1" s="304">
      <c r="B4" s="306" t="n"/>
      <c r="C4" s="299" t="n"/>
      <c r="D4" s="299" t="n"/>
      <c r="E4" s="299" t="n"/>
      <c r="F4" s="299" t="n"/>
      <c r="G4" s="299" t="n"/>
      <c r="H4" s="299" t="n"/>
      <c r="I4" s="299" t="n"/>
      <c r="J4" s="299" t="n"/>
      <c r="K4" s="299" t="n"/>
      <c r="L4" s="299" t="n"/>
      <c r="M4" s="299" t="n"/>
      <c r="N4" s="299" t="n"/>
      <c r="O4" s="299" t="n"/>
      <c r="P4" s="307" t="n"/>
      <c r="Q4" s="63" t="n"/>
    </row>
    <row r="5" ht="15.75" customHeight="1" s="304">
      <c r="B5" s="308" t="inlineStr">
        <is>
          <t>Enter year</t>
        </is>
      </c>
      <c r="C5" s="309" t="n"/>
      <c r="D5" s="309" t="n"/>
      <c r="E5" s="310" t="n"/>
      <c r="F5" s="64" t="n"/>
      <c r="G5" s="63" t="n"/>
      <c r="H5" s="63" t="n"/>
      <c r="I5" s="63" t="n"/>
      <c r="J5" s="63" t="n"/>
      <c r="K5" s="63" t="n"/>
      <c r="L5" s="63" t="n"/>
      <c r="M5" s="63" t="n"/>
      <c r="N5" s="63" t="n"/>
      <c r="O5" s="63" t="n"/>
      <c r="P5" s="63" t="n"/>
      <c r="Q5" s="63" t="n"/>
    </row>
    <row r="6" ht="15.75" customHeight="1" s="304">
      <c r="J6" s="63" t="n"/>
      <c r="K6" s="63" t="n"/>
      <c r="L6" s="63" t="n"/>
      <c r="M6" s="63" t="n"/>
      <c r="N6" s="63" t="n"/>
      <c r="O6" s="63" t="n"/>
      <c r="P6" s="63" t="n"/>
      <c r="Q6" s="63" t="n"/>
    </row>
    <row r="7" ht="15.75" customHeight="1" s="304">
      <c r="B7" s="65" t="inlineStr">
        <is>
          <t>Monthly Totals</t>
        </is>
      </c>
      <c r="C7" s="66" t="n"/>
    </row>
    <row r="8" ht="15.75" customHeight="1" s="304">
      <c r="B8" s="67" t="n"/>
      <c r="C8" s="270" t="inlineStr">
        <is>
          <t>Jan</t>
        </is>
      </c>
      <c r="D8" s="270" t="inlineStr">
        <is>
          <t>Feb</t>
        </is>
      </c>
      <c r="E8" s="270" t="inlineStr">
        <is>
          <t>Mar</t>
        </is>
      </c>
      <c r="F8" s="270" t="inlineStr">
        <is>
          <t>Apr</t>
        </is>
      </c>
      <c r="G8" s="270" t="inlineStr">
        <is>
          <t>May</t>
        </is>
      </c>
      <c r="H8" s="270" t="inlineStr">
        <is>
          <t>Jun</t>
        </is>
      </c>
      <c r="I8" s="270" t="inlineStr">
        <is>
          <t>Jul</t>
        </is>
      </c>
      <c r="J8" s="270" t="inlineStr">
        <is>
          <t>Aug</t>
        </is>
      </c>
      <c r="K8" s="270" t="inlineStr">
        <is>
          <t>Sep</t>
        </is>
      </c>
      <c r="L8" s="270" t="inlineStr">
        <is>
          <t>Oct</t>
        </is>
      </c>
      <c r="M8" s="270" t="inlineStr">
        <is>
          <t>Nov</t>
        </is>
      </c>
      <c r="N8" s="270" t="inlineStr">
        <is>
          <t>Dec</t>
        </is>
      </c>
      <c r="O8" s="68" t="inlineStr">
        <is>
          <t>Annual Total</t>
        </is>
      </c>
    </row>
    <row r="9" ht="15.75" customHeight="1" s="304">
      <c r="B9" s="69" t="inlineStr">
        <is>
          <t>Monthly Balance</t>
        </is>
      </c>
      <c r="C9" s="271">
        <f>Jan!$F$18</f>
        <v/>
      </c>
      <c r="D9" s="272">
        <f>Feb!$F$18</f>
        <v/>
      </c>
      <c r="E9" s="272">
        <f>Mar!$F$18</f>
        <v/>
      </c>
      <c r="F9" s="272">
        <f>Apr!$F$18</f>
        <v/>
      </c>
      <c r="G9" s="272">
        <f>May!$F$18</f>
        <v/>
      </c>
      <c r="H9" s="272">
        <f>Jun!$F$18</f>
        <v/>
      </c>
      <c r="I9" s="272">
        <f>Jul!$F$18</f>
        <v/>
      </c>
      <c r="J9" s="272">
        <f>Aug!$F$18</f>
        <v/>
      </c>
      <c r="K9" s="272">
        <f>Sep!$F$18</f>
        <v/>
      </c>
      <c r="L9" s="272">
        <f>Oct!$F$18</f>
        <v/>
      </c>
      <c r="M9" s="272">
        <f>Nov!$F$18</f>
        <v/>
      </c>
      <c r="N9" s="272">
        <f>Dec!$F$18</f>
        <v/>
      </c>
      <c r="O9" s="273">
        <f>SUM(C9:N9)</f>
        <v/>
      </c>
    </row>
    <row r="10">
      <c r="C10" s="274" t="n"/>
    </row>
    <row r="11" ht="15.75" customHeight="1" s="304">
      <c r="B11" s="65" t="inlineStr">
        <is>
          <t>Expenses by Category</t>
        </is>
      </c>
      <c r="C11" s="298" t="inlineStr">
        <is>
          <t>CAD</t>
        </is>
      </c>
      <c r="D11" s="299" t="n"/>
      <c r="E11" s="299" t="n"/>
      <c r="F11" s="299" t="n"/>
      <c r="G11" s="299" t="n"/>
      <c r="H11" s="299" t="n"/>
      <c r="I11" s="299" t="n"/>
      <c r="J11" s="299" t="n"/>
      <c r="K11" s="299" t="n"/>
      <c r="L11" s="299" t="n"/>
      <c r="M11" s="299" t="n"/>
      <c r="N11" s="299" t="n"/>
    </row>
    <row r="12" ht="15.75" customHeight="1" s="304">
      <c r="B12" s="70" t="inlineStr">
        <is>
          <t>Item</t>
        </is>
      </c>
      <c r="C12" s="275" t="inlineStr">
        <is>
          <t>Jan</t>
        </is>
      </c>
      <c r="D12" s="270" t="inlineStr">
        <is>
          <t>Feb</t>
        </is>
      </c>
      <c r="E12" s="270" t="inlineStr">
        <is>
          <t>Mar</t>
        </is>
      </c>
      <c r="F12" s="270" t="inlineStr">
        <is>
          <t>Apr</t>
        </is>
      </c>
      <c r="G12" s="270" t="inlineStr">
        <is>
          <t>May</t>
        </is>
      </c>
      <c r="H12" s="270" t="inlineStr">
        <is>
          <t>Jun</t>
        </is>
      </c>
      <c r="I12" s="270" t="inlineStr">
        <is>
          <t>Jul</t>
        </is>
      </c>
      <c r="J12" s="270" t="inlineStr">
        <is>
          <t>Aug</t>
        </is>
      </c>
      <c r="K12" s="270" t="inlineStr">
        <is>
          <t>Sep</t>
        </is>
      </c>
      <c r="L12" s="270" t="inlineStr">
        <is>
          <t>Oct</t>
        </is>
      </c>
      <c r="M12" s="270" t="inlineStr">
        <is>
          <t>Nov</t>
        </is>
      </c>
      <c r="N12" s="276" t="inlineStr">
        <is>
          <t>Dec</t>
        </is>
      </c>
      <c r="O12" s="71" t="inlineStr">
        <is>
          <t>Annual Total</t>
        </is>
      </c>
      <c r="P12" s="72" t="inlineStr">
        <is>
          <t>Share of Expenses</t>
        </is>
      </c>
    </row>
    <row r="13">
      <c r="B13" s="73" t="inlineStr">
        <is>
          <t>Food (Meals)</t>
        </is>
      </c>
      <c r="C13" s="277">
        <f>Jan!$G$8-C14</f>
        <v/>
      </c>
      <c r="D13" s="278">
        <f>Feb!$G$8-D14</f>
        <v/>
      </c>
      <c r="E13" s="278">
        <f>Mar!$G$8-E14</f>
        <v/>
      </c>
      <c r="F13" s="278">
        <f>Apr!$G$8-F14</f>
        <v/>
      </c>
      <c r="G13" s="278">
        <f>May!$G$8-G14</f>
        <v/>
      </c>
      <c r="H13" s="278">
        <f>Jun!$G$8-H14</f>
        <v/>
      </c>
      <c r="I13" s="278">
        <f>Jul!$G$8-I14</f>
        <v/>
      </c>
      <c r="J13" s="278">
        <f>Aug!$G$8-J14</f>
        <v/>
      </c>
      <c r="K13" s="278">
        <f>Sep!$G$8-K14</f>
        <v/>
      </c>
      <c r="L13" s="278">
        <f>Oct!$G$8-L14</f>
        <v/>
      </c>
      <c r="M13" s="278">
        <f>Nov!$G$8-M14</f>
        <v/>
      </c>
      <c r="N13" s="279">
        <f>Dec!$G$8-N14</f>
        <v/>
      </c>
      <c r="O13" s="280">
        <f>SUM(C13:N13)</f>
        <v/>
      </c>
      <c r="P13" s="74">
        <f>IF(ISERROR(O13/SUM($O$13:$O$37)),"%",O13/SUM($O$13:$O$37))</f>
        <v/>
      </c>
    </row>
    <row r="14">
      <c r="B14" s="73" t="inlineStr">
        <is>
          <t>Snacks &amp; Groceries</t>
        </is>
      </c>
      <c r="C14" s="277">
        <f>SUM(Jan!$J$17:$BS$19)</f>
        <v/>
      </c>
      <c r="D14" s="278">
        <f>SUM(Feb!$J$17:$BS$19)</f>
        <v/>
      </c>
      <c r="E14" s="278">
        <f>SUM(Mar!$J$17:$BS$19)</f>
        <v/>
      </c>
      <c r="F14" s="278">
        <f>SUM(Apr!$J$17:$BS$19)</f>
        <v/>
      </c>
      <c r="G14" s="278">
        <f>SUM(May!$J$17:$BS$19)</f>
        <v/>
      </c>
      <c r="H14" s="278">
        <f>SUM(Jun!$J$17:$BS$19)</f>
        <v/>
      </c>
      <c r="I14" s="278">
        <f>SUM(Jul!$J$17:$BS$19)</f>
        <v/>
      </c>
      <c r="J14" s="278">
        <f>SUM(Aug!$J$17:$BS$19)</f>
        <v/>
      </c>
      <c r="K14" s="278">
        <f>SUM(Sep!$J$17:$BS$19)</f>
        <v/>
      </c>
      <c r="L14" s="278">
        <f>SUM(Oct!$J$17:$BS$19)</f>
        <v/>
      </c>
      <c r="M14" s="278">
        <f>SUM(Nov!$J$17:$BS$19)</f>
        <v/>
      </c>
      <c r="N14" s="279">
        <f>SUM(Dec!$J$17:$BS$19)</f>
        <v/>
      </c>
      <c r="O14" s="281">
        <f>SUM(C14:N14)</f>
        <v/>
      </c>
      <c r="P14" s="74">
        <f>IF(ISERROR(O14/SUM($O$13:$O$37)),"%",O14/SUM($O$13:$O$37))</f>
        <v/>
      </c>
    </row>
    <row r="15">
      <c r="B15" s="73" t="inlineStr">
        <is>
          <t>Household Goods</t>
        </is>
      </c>
      <c r="C15" s="282">
        <f>Jan!$G$9</f>
        <v/>
      </c>
      <c r="D15" s="283">
        <f>Feb!$G$9</f>
        <v/>
      </c>
      <c r="E15" s="283">
        <f>Mar!$G$9</f>
        <v/>
      </c>
      <c r="F15" s="283">
        <f>Apr!$G$9</f>
        <v/>
      </c>
      <c r="G15" s="283">
        <f>May!$G$9</f>
        <v/>
      </c>
      <c r="H15" s="283">
        <f>Jun!$G$9</f>
        <v/>
      </c>
      <c r="I15" s="283">
        <f>Jul!$G$9</f>
        <v/>
      </c>
      <c r="J15" s="283">
        <f>Aug!$G$9</f>
        <v/>
      </c>
      <c r="K15" s="283">
        <f>Sep!$G$9</f>
        <v/>
      </c>
      <c r="L15" s="283">
        <f>Oct!$G$9</f>
        <v/>
      </c>
      <c r="M15" s="283">
        <f>Nov!$G$9</f>
        <v/>
      </c>
      <c r="N15" s="284">
        <f>Dec!$G$9</f>
        <v/>
      </c>
      <c r="O15" s="281">
        <f>SUM(C15:N15)</f>
        <v/>
      </c>
      <c r="P15" s="74">
        <f>IF(ISERROR(O15/SUM($O$13:$O$37)),"%",O15/SUM($O$13:$O$37))</f>
        <v/>
      </c>
    </row>
    <row r="16">
      <c r="B16" s="73" t="inlineStr">
        <is>
          <t>Education &amp; Enrichment</t>
        </is>
      </c>
      <c r="C16" s="282">
        <f>Jan!$G$10</f>
        <v/>
      </c>
      <c r="D16" s="283">
        <f>Feb!$G$10</f>
        <v/>
      </c>
      <c r="E16" s="283">
        <f>Mar!$G$10</f>
        <v/>
      </c>
      <c r="F16" s="283">
        <f>Apr!$G$10</f>
        <v/>
      </c>
      <c r="G16" s="283">
        <f>May!$G$10</f>
        <v/>
      </c>
      <c r="H16" s="283">
        <f>Jun!$G$10</f>
        <v/>
      </c>
      <c r="I16" s="283">
        <f>Jul!$G$10</f>
        <v/>
      </c>
      <c r="J16" s="283">
        <f>Aug!$G$10</f>
        <v/>
      </c>
      <c r="K16" s="283">
        <f>Sep!$G$10</f>
        <v/>
      </c>
      <c r="L16" s="283">
        <f>Oct!$G$10</f>
        <v/>
      </c>
      <c r="M16" s="283">
        <f>Nov!$G$10</f>
        <v/>
      </c>
      <c r="N16" s="284">
        <f>Dec!$G$10</f>
        <v/>
      </c>
      <c r="O16" s="281">
        <f>SUM(C16:N16)</f>
        <v/>
      </c>
      <c r="P16" s="74">
        <f>IF(ISERROR(O16/SUM($O$13:$O$37)),"%",O16/SUM($O$13:$O$37))</f>
        <v/>
      </c>
      <c r="Q16" s="81" t="n"/>
    </row>
    <row r="17">
      <c r="B17" s="73" t="inlineStr">
        <is>
          <t>Fuel</t>
        </is>
      </c>
      <c r="C17" s="282">
        <f>SUM(Jan!$J$29:$BS$29)</f>
        <v/>
      </c>
      <c r="D17" s="283">
        <f>SUM(Feb!$J$29:$BS$29)</f>
        <v/>
      </c>
      <c r="E17" s="283">
        <f>SUM(Mar!$J$29:$BS$29)</f>
        <v/>
      </c>
      <c r="F17" s="283">
        <f>SUM(Apr!$J$29:$BS$29)</f>
        <v/>
      </c>
      <c r="G17" s="283">
        <f>SUM(May!$J$29:$BS$29)</f>
        <v/>
      </c>
      <c r="H17" s="283">
        <f>SUM(Jun!$J$29:$BS$29)</f>
        <v/>
      </c>
      <c r="I17" s="283">
        <f>SUM(Jul!$J$29:$BS$29)</f>
        <v/>
      </c>
      <c r="J17" s="283">
        <f>SUM(Aug!$J$29:$BS$29)</f>
        <v/>
      </c>
      <c r="K17" s="283">
        <f>SUM(Sep!$J$29:$BS$29)</f>
        <v/>
      </c>
      <c r="L17" s="283">
        <f>SUM(Oct!$J$29:$BS$29)</f>
        <v/>
      </c>
      <c r="M17" s="283">
        <f>SUM(Nov!$J$29:$BS$29)</f>
        <v/>
      </c>
      <c r="N17" s="284">
        <f>SUM(Dec!$J$29:$BS$29)</f>
        <v/>
      </c>
      <c r="O17" s="281">
        <f>SUM(C17:N17)</f>
        <v/>
      </c>
      <c r="P17" s="74">
        <f>IF(ISERROR(O17/SUM($O$13:$O$37)),"%",O17/SUM($O$13:$O$37))</f>
        <v/>
      </c>
      <c r="Q17" s="81" t="n"/>
    </row>
    <row r="18" ht="15.5" customHeight="1" s="304">
      <c r="B18" s="73" t="inlineStr">
        <is>
          <t>Clothing</t>
        </is>
      </c>
      <c r="C18" s="282">
        <f>SUM(Jan!J30:BS31)</f>
        <v/>
      </c>
      <c r="D18" s="283">
        <f>SUM(Feb!K30:BS31)</f>
        <v/>
      </c>
      <c r="E18" s="283">
        <f>SUM(Mar!K30:BS31)</f>
        <v/>
      </c>
      <c r="F18" s="283">
        <f>SUM(Apr!K30:BS31)</f>
        <v/>
      </c>
      <c r="G18" s="283">
        <f>SUM(May!K30:BS31)</f>
        <v/>
      </c>
      <c r="H18" s="283">
        <f>SUM(Jun!K30:BS31)</f>
        <v/>
      </c>
      <c r="I18" s="283">
        <f>SUM(Jul!K30:BS31)</f>
        <v/>
      </c>
      <c r="J18" s="283">
        <f>SUM(Aug!K30:BS31)</f>
        <v/>
      </c>
      <c r="K18" s="283">
        <f>SUM(Sep!K30:BS31)</f>
        <v/>
      </c>
      <c r="L18" s="283">
        <f>SUM(Oct!K30:BS31)</f>
        <v/>
      </c>
      <c r="M18" s="283">
        <f>SUM(Nov!K30:BS31)</f>
        <v/>
      </c>
      <c r="N18" s="284">
        <f>SUM(Dec!K30:BS31)</f>
        <v/>
      </c>
      <c r="O18" s="281">
        <f>SUM(C18:N18)</f>
        <v/>
      </c>
      <c r="P18" s="74">
        <f>IF(ISERROR(O18/SUM($O$13:$O$37)),"%",O18/SUM($O$13:$O$37))</f>
        <v/>
      </c>
    </row>
    <row r="19" ht="15.5" customHeight="1" s="304">
      <c r="B19" s="73" t="inlineStr">
        <is>
          <t>Medical</t>
        </is>
      </c>
      <c r="C19" s="282">
        <f>SUM(Jan!J32:BS32)</f>
        <v/>
      </c>
      <c r="D19" s="283">
        <f>SUM(Feb!K32:BS32)</f>
        <v/>
      </c>
      <c r="E19" s="283">
        <f>SUM(Mar!K32:BS32)</f>
        <v/>
      </c>
      <c r="F19" s="283">
        <f>SUM(Apr!K32:BS32)</f>
        <v/>
      </c>
      <c r="G19" s="283">
        <f>SUM(May!K32:BS32)</f>
        <v/>
      </c>
      <c r="H19" s="283">
        <f>SUM(Jun!K32:BS32)</f>
        <v/>
      </c>
      <c r="I19" s="283">
        <f>SUM(Jul!K32:BS32)</f>
        <v/>
      </c>
      <c r="J19" s="283">
        <f>SUM(Aug!K32:BS32)</f>
        <v/>
      </c>
      <c r="K19" s="283">
        <f>SUM(Sep!K32:BS32)</f>
        <v/>
      </c>
      <c r="L19" s="283">
        <f>SUM(Oct!K32:BS32)</f>
        <v/>
      </c>
      <c r="M19" s="283">
        <f>SUM(Nov!K32:BS32)</f>
        <v/>
      </c>
      <c r="N19" s="284">
        <f>SUM(Dec!K32:BS32)</f>
        <v/>
      </c>
      <c r="O19" s="281">
        <f>SUM(C19:N19)</f>
        <v/>
      </c>
      <c r="P19" s="74">
        <f>IF(ISERROR(O19/SUM($O$13:$O$37)),"%",O19/SUM($O$13:$O$37))</f>
        <v/>
      </c>
    </row>
    <row r="20" ht="15.5" customHeight="1" s="304">
      <c r="B20" s="73" t="inlineStr">
        <is>
          <t>Hair &amp; Cosmetics</t>
        </is>
      </c>
      <c r="C20" s="282">
        <f>SUM(Jan!J33:BS33)</f>
        <v/>
      </c>
      <c r="D20" s="283">
        <f>SUM(Feb!K33:BS33)</f>
        <v/>
      </c>
      <c r="E20" s="283">
        <f>SUM(Mar!K33:BS33)</f>
        <v/>
      </c>
      <c r="F20" s="283">
        <f>SUM(Apr!K33:BS33)</f>
        <v/>
      </c>
      <c r="G20" s="283">
        <f>SUM(May!K33:BS33)</f>
        <v/>
      </c>
      <c r="H20" s="283">
        <f>SUM(Jun!K33:BS33)</f>
        <v/>
      </c>
      <c r="I20" s="283">
        <f>SUM(Jul!K33:BS33)</f>
        <v/>
      </c>
      <c r="J20" s="283">
        <f>SUM(Aug!K33:BS33)</f>
        <v/>
      </c>
      <c r="K20" s="283">
        <f>SUM(Sep!K33:BS33)</f>
        <v/>
      </c>
      <c r="L20" s="283">
        <f>SUM(Oct!K33:BS33)</f>
        <v/>
      </c>
      <c r="M20" s="283">
        <f>SUM(Nov!K33:BS33)</f>
        <v/>
      </c>
      <c r="N20" s="284">
        <f>SUM(Dec!K33:BS33)</f>
        <v/>
      </c>
      <c r="O20" s="281">
        <f>SUM(C20:N20)</f>
        <v/>
      </c>
      <c r="P20" s="74">
        <f>IF(ISERROR(O20/SUM($O$13:$O$37)),"%",O20/SUM($O$13:$O$37))</f>
        <v/>
      </c>
    </row>
    <row r="21" ht="15.5" customHeight="1" s="304">
      <c r="B21" s="73" t="inlineStr">
        <is>
          <t>Transportation</t>
        </is>
      </c>
      <c r="C21" s="282">
        <f>SUM(Jan!J34:BS34)</f>
        <v/>
      </c>
      <c r="D21" s="283">
        <f>SUM(Feb!K34:BS34)</f>
        <v/>
      </c>
      <c r="E21" s="283">
        <f>SUM(Mar!K34:BS34)</f>
        <v/>
      </c>
      <c r="F21" s="283">
        <f>SUM(Apr!K34:BS34)</f>
        <v/>
      </c>
      <c r="G21" s="283">
        <f>SUM(May!K34:BS34)</f>
        <v/>
      </c>
      <c r="H21" s="283">
        <f>SUM(Jun!K34:BS34)</f>
        <v/>
      </c>
      <c r="I21" s="283">
        <f>SUM(Jul!K34:BS34)</f>
        <v/>
      </c>
      <c r="J21" s="283">
        <f>SUM(Aug!K34:BS34)</f>
        <v/>
      </c>
      <c r="K21" s="283">
        <f>SUM(Sep!K34:BS34)</f>
        <v/>
      </c>
      <c r="L21" s="283">
        <f>SUM(Oct!K34:BS34)</f>
        <v/>
      </c>
      <c r="M21" s="283">
        <f>SUM(Nov!K34:BS34)</f>
        <v/>
      </c>
      <c r="N21" s="284">
        <f>SUM(Dec!K34:BS34)</f>
        <v/>
      </c>
      <c r="O21" s="281">
        <f>SUM(C21:N21)</f>
        <v/>
      </c>
      <c r="P21" s="74">
        <f>IF(ISERROR(O21/SUM($O$13:$O$37)),"%",O21/SUM($O$13:$O$37))</f>
        <v/>
      </c>
    </row>
    <row r="22" ht="15.5" customHeight="1" s="304">
      <c r="B22" s="73" t="inlineStr">
        <is>
          <t>Entertainment</t>
        </is>
      </c>
      <c r="C22" s="282">
        <f>SUM(Jan!J35:BS35)</f>
        <v/>
      </c>
      <c r="D22" s="283">
        <f>SUM(Feb!K35:BS35)</f>
        <v/>
      </c>
      <c r="E22" s="283">
        <f>SUM(Mar!K35:BS35)</f>
        <v/>
      </c>
      <c r="F22" s="283">
        <f>SUM(Apr!K35:BS35)</f>
        <v/>
      </c>
      <c r="G22" s="283">
        <f>SUM(May!K35:BS35)</f>
        <v/>
      </c>
      <c r="H22" s="283">
        <f>SUM(Jun!K35:BS35)</f>
        <v/>
      </c>
      <c r="I22" s="283">
        <f>SUM(Jul!K35:BS35)</f>
        <v/>
      </c>
      <c r="J22" s="283">
        <f>SUM(Aug!K35:BS35)</f>
        <v/>
      </c>
      <c r="K22" s="283">
        <f>SUM(Sep!K35:BS35)</f>
        <v/>
      </c>
      <c r="L22" s="283">
        <f>SUM(Oct!K35:BS35)</f>
        <v/>
      </c>
      <c r="M22" s="283">
        <f>SUM(Nov!K35:BS35)</f>
        <v/>
      </c>
      <c r="N22" s="284">
        <f>SUM(Dec!K35:BS35)</f>
        <v/>
      </c>
      <c r="O22" s="281">
        <f>SUM(C22:N22)</f>
        <v/>
      </c>
      <c r="P22" s="74">
        <f>IF(ISERROR(O22/SUM($O$13:$O$37)),"%",O22/SUM($O$13:$O$37))</f>
        <v/>
      </c>
    </row>
    <row r="23" ht="15.5" customHeight="1" s="304">
      <c r="B23" s="73" t="inlineStr">
        <is>
          <t>Gifts &amp; Social</t>
        </is>
      </c>
      <c r="C23" s="282">
        <f>SUM(Jan!J36:BS36)</f>
        <v/>
      </c>
      <c r="D23" s="283">
        <f>SUM(Feb!K36:BS36)</f>
        <v/>
      </c>
      <c r="E23" s="283">
        <f>SUM(Mar!K36:BS36)</f>
        <v/>
      </c>
      <c r="F23" s="283">
        <f>SUM(Apr!K36:BS36)</f>
        <v/>
      </c>
      <c r="G23" s="283">
        <f>SUM(May!K36:BS36)</f>
        <v/>
      </c>
      <c r="H23" s="283">
        <f>SUM(Jun!K36:BS36)</f>
        <v/>
      </c>
      <c r="I23" s="283">
        <f>SUM(Jul!K36:BS36)</f>
        <v/>
      </c>
      <c r="J23" s="283">
        <f>SUM(Aug!K36:BS36)</f>
        <v/>
      </c>
      <c r="K23" s="283">
        <f>SUM(Sep!K36:BS36)</f>
        <v/>
      </c>
      <c r="L23" s="283">
        <f>SUM(Oct!K36:BS36)</f>
        <v/>
      </c>
      <c r="M23" s="283">
        <f>SUM(Nov!K36:BS36)</f>
        <v/>
      </c>
      <c r="N23" s="284">
        <f>SUM(Dec!K36:BS36)</f>
        <v/>
      </c>
      <c r="O23" s="281">
        <f>SUM(C23:N23)</f>
        <v/>
      </c>
      <c r="P23" s="74">
        <f>IF(ISERROR(O23/SUM($O$13:$O$37)),"%",O23/SUM($O$13:$O$37))</f>
        <v/>
      </c>
    </row>
    <row r="24" ht="15.5" customHeight="1" s="304">
      <c r="B24" s="73" t="inlineStr">
        <is>
          <t>Income offset</t>
        </is>
      </c>
      <c r="C24" s="282">
        <f>Jan!C18</f>
        <v/>
      </c>
      <c r="D24" s="283">
        <f>Feb!C18</f>
        <v/>
      </c>
      <c r="E24" s="283">
        <f>Mar!C18</f>
        <v/>
      </c>
      <c r="F24" s="283">
        <f>Apr!C18</f>
        <v/>
      </c>
      <c r="G24" s="283">
        <f>May!C18</f>
        <v/>
      </c>
      <c r="H24" s="283">
        <f>Jun!C18</f>
        <v/>
      </c>
      <c r="I24" s="283">
        <f>Jul!C18</f>
        <v/>
      </c>
      <c r="J24" s="283">
        <f>Aug!C18</f>
        <v/>
      </c>
      <c r="K24" s="283">
        <f>Sep!C18</f>
        <v/>
      </c>
      <c r="L24" s="283">
        <f>Oct!C18</f>
        <v/>
      </c>
      <c r="M24" s="283">
        <f>Nov!C18</f>
        <v/>
      </c>
      <c r="N24" s="284">
        <f>Dec!C18</f>
        <v/>
      </c>
      <c r="O24" s="281">
        <f>SUM(C24:N24)</f>
        <v/>
      </c>
      <c r="P24" s="74">
        <f>IF(ISERROR(O24/SUM($O$13:$O$37)),"%",O24/SUM($O$13:$O$37))</f>
        <v/>
      </c>
      <c r="Q24" s="274" t="n"/>
    </row>
    <row r="25" ht="15.5" customHeight="1" s="304">
      <c r="B25" s="73" t="inlineStr">
        <is>
          <t>GAS</t>
        </is>
      </c>
      <c r="C25" s="282">
        <f>Jan!C19</f>
        <v/>
      </c>
      <c r="D25" s="283">
        <f>Feb!C19</f>
        <v/>
      </c>
      <c r="E25" s="283">
        <f>Mar!C19</f>
        <v/>
      </c>
      <c r="F25" s="283">
        <f>Apr!C19</f>
        <v/>
      </c>
      <c r="G25" s="283">
        <f>May!C19</f>
        <v/>
      </c>
      <c r="H25" s="283">
        <f>Jun!C19</f>
        <v/>
      </c>
      <c r="I25" s="283">
        <f>Jul!C19</f>
        <v/>
      </c>
      <c r="J25" s="283">
        <f>Aug!C19</f>
        <v/>
      </c>
      <c r="K25" s="283">
        <f>Sep!C19</f>
        <v/>
      </c>
      <c r="L25" s="283">
        <f>Oct!C19</f>
        <v/>
      </c>
      <c r="M25" s="283">
        <f>Nov!C19</f>
        <v/>
      </c>
      <c r="N25" s="284">
        <f>Dec!C19</f>
        <v/>
      </c>
      <c r="O25" s="281">
        <f>SUM(C25:N25)</f>
        <v/>
      </c>
      <c r="P25" s="74">
        <f>IF(ISERROR(O25/SUM($O$13:$O$37)),"%",O25/SUM($O$13:$O$37))</f>
        <v/>
      </c>
    </row>
    <row r="26" ht="15.5" customHeight="1" s="304">
      <c r="B26" s="73" t="inlineStr">
        <is>
          <t>Electricity &amp; Water</t>
        </is>
      </c>
      <c r="C26" s="282">
        <f>Jan!C20</f>
        <v/>
      </c>
      <c r="D26" s="283">
        <f>Feb!C20</f>
        <v/>
      </c>
      <c r="E26" s="283">
        <f>Mar!C20</f>
        <v/>
      </c>
      <c r="F26" s="283">
        <f>Apr!C20</f>
        <v/>
      </c>
      <c r="G26" s="283">
        <f>May!C20</f>
        <v/>
      </c>
      <c r="H26" s="283">
        <f>Jun!C20</f>
        <v/>
      </c>
      <c r="I26" s="283">
        <f>Jul!C20</f>
        <v/>
      </c>
      <c r="J26" s="283">
        <f>Aug!C20</f>
        <v/>
      </c>
      <c r="K26" s="283">
        <f>Sep!C20</f>
        <v/>
      </c>
      <c r="L26" s="283">
        <f>Oct!C20</f>
        <v/>
      </c>
      <c r="M26" s="283">
        <f>Nov!C20</f>
        <v/>
      </c>
      <c r="N26" s="284">
        <f>Dec!C20</f>
        <v/>
      </c>
      <c r="O26" s="281">
        <f>SUM(C26:N26)</f>
        <v/>
      </c>
      <c r="P26" s="74">
        <f>IF(ISERROR(O26/SUM($O$13:$O$37)),"%",O26/SUM($O$13:$O$37))</f>
        <v/>
      </c>
    </row>
    <row r="27" ht="15.5" customHeight="1" s="304">
      <c r="B27" s="73" t="inlineStr">
        <is>
          <t>RESP</t>
        </is>
      </c>
      <c r="C27" s="282">
        <f>Jan!C21</f>
        <v/>
      </c>
      <c r="D27" s="283">
        <f>Feb!C21</f>
        <v/>
      </c>
      <c r="E27" s="283">
        <f>Mar!C21</f>
        <v/>
      </c>
      <c r="F27" s="283">
        <f>Apr!C21</f>
        <v/>
      </c>
      <c r="G27" s="283">
        <f>May!C21</f>
        <v/>
      </c>
      <c r="H27" s="283">
        <f>Jun!C21</f>
        <v/>
      </c>
      <c r="I27" s="283">
        <f>Jul!C21</f>
        <v/>
      </c>
      <c r="J27" s="283">
        <f>Aug!C21</f>
        <v/>
      </c>
      <c r="K27" s="283">
        <f>Sep!C21</f>
        <v/>
      </c>
      <c r="L27" s="283">
        <f>Oct!C21</f>
        <v/>
      </c>
      <c r="M27" s="283">
        <f>Nov!C21</f>
        <v/>
      </c>
      <c r="N27" s="284">
        <f>Dec!C21</f>
        <v/>
      </c>
      <c r="O27" s="281">
        <f>SUM(C27:N27)</f>
        <v/>
      </c>
      <c r="P27" s="74">
        <f>IF(ISERROR(O27/SUM($O$13:$O$37)),"%",O27/SUM($O$13:$O$37))</f>
        <v/>
      </c>
    </row>
    <row r="28" ht="15.5" customHeight="1" s="304">
      <c r="B28" s="73" t="inlineStr">
        <is>
          <t>Mobile Phone</t>
        </is>
      </c>
      <c r="C28" s="282">
        <f>Jan!C22</f>
        <v/>
      </c>
      <c r="D28" s="283">
        <f>Feb!C22</f>
        <v/>
      </c>
      <c r="E28" s="283">
        <f>Mar!C22</f>
        <v/>
      </c>
      <c r="F28" s="283">
        <f>Apr!C22</f>
        <v/>
      </c>
      <c r="G28" s="283">
        <f>May!C22</f>
        <v/>
      </c>
      <c r="H28" s="283">
        <f>Jun!C22</f>
        <v/>
      </c>
      <c r="I28" s="283">
        <f>Jul!C22</f>
        <v/>
      </c>
      <c r="J28" s="283">
        <f>Aug!C22</f>
        <v/>
      </c>
      <c r="K28" s="283">
        <f>Sep!C22</f>
        <v/>
      </c>
      <c r="L28" s="283">
        <f>Oct!C22</f>
        <v/>
      </c>
      <c r="M28" s="283">
        <f>Nov!C22</f>
        <v/>
      </c>
      <c r="N28" s="284">
        <f>Dec!C22</f>
        <v/>
      </c>
      <c r="O28" s="281">
        <f>SUM(C28:N28)</f>
        <v/>
      </c>
      <c r="P28" s="74">
        <f>IF(ISERROR(O28/SUM($O$13:$O$37)),"%",O28/SUM($O$13:$O$37))</f>
        <v/>
      </c>
    </row>
    <row r="29" ht="15.5" customHeight="1" s="304">
      <c r="B29" s="73" t="inlineStr">
        <is>
          <t>Daycare</t>
        </is>
      </c>
      <c r="C29" s="282">
        <f>Jan!C23</f>
        <v/>
      </c>
      <c r="D29" s="283">
        <f>Feb!C23</f>
        <v/>
      </c>
      <c r="E29" s="283">
        <f>Mar!C23</f>
        <v/>
      </c>
      <c r="F29" s="283">
        <f>Apr!C23</f>
        <v/>
      </c>
      <c r="G29" s="283">
        <f>May!C23</f>
        <v/>
      </c>
      <c r="H29" s="283">
        <f>Jun!C23</f>
        <v/>
      </c>
      <c r="I29" s="283">
        <f>Jul!C23</f>
        <v/>
      </c>
      <c r="J29" s="283">
        <f>Aug!C23</f>
        <v/>
      </c>
      <c r="K29" s="283">
        <f>Sep!C23</f>
        <v/>
      </c>
      <c r="L29" s="283">
        <f>Oct!C23</f>
        <v/>
      </c>
      <c r="M29" s="283">
        <f>Nov!C23</f>
        <v/>
      </c>
      <c r="N29" s="284">
        <f>Dec!C23</f>
        <v/>
      </c>
      <c r="O29" s="281">
        <f>SUM(C29:N29)</f>
        <v/>
      </c>
      <c r="P29" s="74">
        <f>IF(ISERROR(O29/SUM($O$13:$O$37)),"%",O29/SUM($O$13:$O$37))</f>
        <v/>
      </c>
    </row>
    <row r="30" ht="15.5" customHeight="1" s="304">
      <c r="B30" s="73" t="inlineStr">
        <is>
          <t>Rent / Mortgage</t>
        </is>
      </c>
      <c r="C30" s="282">
        <f>Jan!C24</f>
        <v/>
      </c>
      <c r="D30" s="283">
        <f>Feb!C24</f>
        <v/>
      </c>
      <c r="E30" s="283">
        <f>Mar!C24</f>
        <v/>
      </c>
      <c r="F30" s="283">
        <f>Apr!C24</f>
        <v/>
      </c>
      <c r="G30" s="283">
        <f>May!C24</f>
        <v/>
      </c>
      <c r="H30" s="283">
        <f>Jun!C24</f>
        <v/>
      </c>
      <c r="I30" s="283">
        <f>Jul!C24</f>
        <v/>
      </c>
      <c r="J30" s="283">
        <f>Aug!C24</f>
        <v/>
      </c>
      <c r="K30" s="283">
        <f>Sep!C24</f>
        <v/>
      </c>
      <c r="L30" s="283">
        <f>Oct!C24</f>
        <v/>
      </c>
      <c r="M30" s="283">
        <f>Nov!C24</f>
        <v/>
      </c>
      <c r="N30" s="284">
        <f>Dec!C24</f>
        <v/>
      </c>
      <c r="O30" s="281">
        <f>SUM(C30:N30)</f>
        <v/>
      </c>
      <c r="P30" s="74">
        <f>IF(ISERROR(O30/SUM($O$13:$O$37)),"%",O30/SUM($O$13:$O$37))</f>
        <v/>
      </c>
    </row>
    <row r="31" ht="15.5" customHeight="1" s="304">
      <c r="B31" s="73" t="inlineStr">
        <is>
          <t>Internet</t>
        </is>
      </c>
      <c r="C31" s="282">
        <f>Jan!C25</f>
        <v/>
      </c>
      <c r="D31" s="283">
        <f>Feb!C25</f>
        <v/>
      </c>
      <c r="E31" s="283">
        <f>Mar!C25</f>
        <v/>
      </c>
      <c r="F31" s="283">
        <f>Apr!C25</f>
        <v/>
      </c>
      <c r="G31" s="283">
        <f>May!C25</f>
        <v/>
      </c>
      <c r="H31" s="283">
        <f>Jun!C25</f>
        <v/>
      </c>
      <c r="I31" s="283">
        <f>Jul!C25</f>
        <v/>
      </c>
      <c r="J31" s="283">
        <f>Aug!C25</f>
        <v/>
      </c>
      <c r="K31" s="283">
        <f>Sep!C25</f>
        <v/>
      </c>
      <c r="L31" s="283">
        <f>Oct!C25</f>
        <v/>
      </c>
      <c r="M31" s="283">
        <f>Nov!C25</f>
        <v/>
      </c>
      <c r="N31" s="284">
        <f>Dec!C25</f>
        <v/>
      </c>
      <c r="O31" s="281">
        <f>SUM(C31:N31)</f>
        <v/>
      </c>
      <c r="P31" s="74">
        <f>IF(ISERROR(O31/SUM($O$13:$O$37)),"%",O31/SUM($O$13:$O$37))</f>
        <v/>
      </c>
    </row>
    <row r="32" ht="15.5" customHeight="1" s="304">
      <c r="B32" s="73" t="inlineStr">
        <is>
          <t>Car Insurance</t>
        </is>
      </c>
      <c r="C32" s="282">
        <f>Jan!C26</f>
        <v/>
      </c>
      <c r="D32" s="283">
        <f>Feb!C26</f>
        <v/>
      </c>
      <c r="E32" s="283">
        <f>Mar!C26</f>
        <v/>
      </c>
      <c r="F32" s="283">
        <f>Apr!C26</f>
        <v/>
      </c>
      <c r="G32" s="283">
        <f>May!C26</f>
        <v/>
      </c>
      <c r="H32" s="283">
        <f>Jun!C26</f>
        <v/>
      </c>
      <c r="I32" s="283">
        <f>Jul!C26</f>
        <v/>
      </c>
      <c r="J32" s="283">
        <f>Aug!C26</f>
        <v/>
      </c>
      <c r="K32" s="283">
        <f>Sep!C26</f>
        <v/>
      </c>
      <c r="L32" s="283">
        <f>Oct!C26</f>
        <v/>
      </c>
      <c r="M32" s="283">
        <f>Nov!C26</f>
        <v/>
      </c>
      <c r="N32" s="284">
        <f>Dec!C26</f>
        <v/>
      </c>
      <c r="O32" s="281">
        <f>SUM(C32:N32)</f>
        <v/>
      </c>
      <c r="P32" s="74">
        <f>IF(ISERROR(O32/SUM($O$13:$O$37)),"%",O32/SUM($O$13:$O$37))</f>
        <v/>
      </c>
    </row>
    <row r="33" ht="15.75" customHeight="1" s="304">
      <c r="B33" s="73" t="inlineStr">
        <is>
          <t>Property Tax</t>
        </is>
      </c>
      <c r="C33" s="282">
        <f>Jan!C27</f>
        <v/>
      </c>
      <c r="D33" s="283">
        <f>Feb!C27</f>
        <v/>
      </c>
      <c r="E33" s="283">
        <f>Mar!C27</f>
        <v/>
      </c>
      <c r="F33" s="283">
        <f>Apr!C27</f>
        <v/>
      </c>
      <c r="G33" s="283">
        <f>May!C27</f>
        <v/>
      </c>
      <c r="H33" s="283">
        <f>Jun!C27</f>
        <v/>
      </c>
      <c r="I33" s="283">
        <f>Jul!C27</f>
        <v/>
      </c>
      <c r="J33" s="283">
        <f>Aug!C27</f>
        <v/>
      </c>
      <c r="K33" s="283">
        <f>Sep!C27</f>
        <v/>
      </c>
      <c r="L33" s="283">
        <f>Oct!C27</f>
        <v/>
      </c>
      <c r="M33" s="283">
        <f>Nov!C27</f>
        <v/>
      </c>
      <c r="N33" s="284">
        <f>Dec!C27</f>
        <v/>
      </c>
      <c r="O33" s="281">
        <f>SUM(C33:N33)</f>
        <v/>
      </c>
      <c r="P33" s="74">
        <f>IF(ISERROR(O33/SUM($O$13:$O$37)),"%",O33/SUM($O$13:$O$37))</f>
        <v/>
      </c>
    </row>
    <row r="34" ht="15.5" customHeight="1" s="304">
      <c r="B34" s="73" t="inlineStr">
        <is>
          <t>Maintenance</t>
        </is>
      </c>
      <c r="C34" s="282">
        <f>Jan!C28</f>
        <v/>
      </c>
      <c r="D34" s="283">
        <f>Feb!C28</f>
        <v/>
      </c>
      <c r="E34" s="283">
        <f>Mar!C28</f>
        <v/>
      </c>
      <c r="F34" s="283">
        <f>Apr!C28</f>
        <v/>
      </c>
      <c r="G34" s="283">
        <f>May!C28</f>
        <v/>
      </c>
      <c r="H34" s="283">
        <f>Jun!C28</f>
        <v/>
      </c>
      <c r="I34" s="283">
        <f>Jul!C28</f>
        <v/>
      </c>
      <c r="J34" s="283">
        <f>Aug!C28</f>
        <v/>
      </c>
      <c r="K34" s="283">
        <f>Sep!C28</f>
        <v/>
      </c>
      <c r="L34" s="283">
        <f>Oct!C28</f>
        <v/>
      </c>
      <c r="M34" s="283">
        <f>Nov!C28</f>
        <v/>
      </c>
      <c r="N34" s="284">
        <f>Dec!C28</f>
        <v/>
      </c>
      <c r="O34" s="281">
        <f>SUM(C34:N34)</f>
        <v/>
      </c>
      <c r="P34" s="74">
        <f>IF(ISERROR(O34/SUM($O$13:$O$37)),"%",O34/SUM($O$13:$O$37))</f>
        <v/>
      </c>
    </row>
    <row r="35">
      <c r="B35" s="73" t="inlineStr">
        <is>
          <t>Home Insurance</t>
        </is>
      </c>
      <c r="C35" s="282">
        <f>Jan!C29</f>
        <v/>
      </c>
      <c r="D35" s="283">
        <f>Feb!C29</f>
        <v/>
      </c>
      <c r="E35" s="283">
        <f>Mar!C29</f>
        <v/>
      </c>
      <c r="F35" s="283">
        <f>Apr!C29</f>
        <v/>
      </c>
      <c r="G35" s="283">
        <f>May!C29</f>
        <v/>
      </c>
      <c r="H35" s="283">
        <f>Jun!C29</f>
        <v/>
      </c>
      <c r="I35" s="283">
        <f>Jul!C29</f>
        <v/>
      </c>
      <c r="J35" s="283">
        <f>Aug!C29</f>
        <v/>
      </c>
      <c r="K35" s="283">
        <f>Sep!C29</f>
        <v/>
      </c>
      <c r="L35" s="283">
        <f>Oct!C29</f>
        <v/>
      </c>
      <c r="M35" s="283">
        <f>Nov!C29</f>
        <v/>
      </c>
      <c r="N35" s="284">
        <f>Dec!C29</f>
        <v/>
      </c>
      <c r="O35" s="281">
        <f>SUM(C35:N35)</f>
        <v/>
      </c>
      <c r="P35" s="74">
        <f>IF(ISERROR(O35/SUM($O$13:$O$37)),"%",O35/SUM($O$13:$O$37))</f>
        <v/>
      </c>
    </row>
    <row r="36">
      <c r="B36" s="73" t="inlineStr">
        <is>
          <t>Car Loan Payment</t>
        </is>
      </c>
      <c r="C36" s="282">
        <f>Jan!C30</f>
        <v/>
      </c>
      <c r="D36" s="283">
        <f>Feb!C30</f>
        <v/>
      </c>
      <c r="E36" s="283">
        <f>Mar!C30</f>
        <v/>
      </c>
      <c r="F36" s="283">
        <f>Apr!C30</f>
        <v/>
      </c>
      <c r="G36" s="283">
        <f>May!C30</f>
        <v/>
      </c>
      <c r="H36" s="283">
        <f>Jun!C30</f>
        <v/>
      </c>
      <c r="I36" s="283">
        <f>Jul!C30</f>
        <v/>
      </c>
      <c r="J36" s="283">
        <f>Aug!C30</f>
        <v/>
      </c>
      <c r="K36" s="283">
        <f>Sep!C30</f>
        <v/>
      </c>
      <c r="L36" s="283">
        <f>Oct!C30</f>
        <v/>
      </c>
      <c r="M36" s="283">
        <f>Nov!C30</f>
        <v/>
      </c>
      <c r="N36" s="284">
        <f>Dec!C30</f>
        <v/>
      </c>
      <c r="O36" s="281">
        <f>SUM(C36:N36)</f>
        <v/>
      </c>
      <c r="P36" s="74">
        <f>IF(ISERROR(O36/SUM($O$13:$O$37)),"%",O36/SUM($O$13:$O$37))</f>
        <v/>
      </c>
    </row>
    <row r="37" ht="15.75" customHeight="1" s="304">
      <c r="B37" s="76" t="inlineStr">
        <is>
          <t>Other</t>
        </is>
      </c>
      <c r="C37" s="285">
        <f>SUM(Jan!$J$37:$BS$40)</f>
        <v/>
      </c>
      <c r="D37" s="286">
        <f>SUM(Feb!$J$37:$BS$40)</f>
        <v/>
      </c>
      <c r="E37" s="286">
        <f>SUM(Mar!$J$37:$BS$40)</f>
        <v/>
      </c>
      <c r="F37" s="286">
        <f>SUM(Apr!$J$37:$BS$40)</f>
        <v/>
      </c>
      <c r="G37" s="286">
        <f>SUM(May!$J$37:$BS$40)</f>
        <v/>
      </c>
      <c r="H37" s="286">
        <f>SUM(Jun!$J$37:$BS$40)</f>
        <v/>
      </c>
      <c r="I37" s="286">
        <f>SUM(Jul!$J$37:$BS$40)</f>
        <v/>
      </c>
      <c r="J37" s="286">
        <f>SUM(Aug!$J$37:$BS$40)</f>
        <v/>
      </c>
      <c r="K37" s="286">
        <f>SUM(Sep!$J$37:$BS$40)</f>
        <v/>
      </c>
      <c r="L37" s="286">
        <f>SUM(Oct!$J$37:$BS$40)</f>
        <v/>
      </c>
      <c r="M37" s="286">
        <f>SUM(Nov!$J$37:$BS$40)</f>
        <v/>
      </c>
      <c r="N37" s="287">
        <f>SUM(Dec!$J$37:$BS$40)</f>
        <v/>
      </c>
      <c r="O37" s="288">
        <f>SUM(C37:N37)</f>
        <v/>
      </c>
      <c r="P37" s="77">
        <f>IF(ISERROR(O37/SUM($O$13:$O$37)),"%",O37/SUM($O$13:$O$37))</f>
        <v/>
      </c>
    </row>
    <row r="38" ht="15.5" customHeight="1" s="304">
      <c r="B38" s="78" t="inlineStr">
        <is>
          <t>Total Expenses</t>
        </is>
      </c>
      <c r="C38" s="79">
        <f>SUM(C13:C37)-C24</f>
        <v/>
      </c>
      <c r="D38" s="79">
        <f>SUM(D13:D37)-D24</f>
        <v/>
      </c>
      <c r="E38" s="79">
        <f>SUM(E13:E37)-E24</f>
        <v/>
      </c>
      <c r="F38" s="79">
        <f>SUM(F13:F37)-F24</f>
        <v/>
      </c>
      <c r="G38" s="79">
        <f>SUM(G13:G37)-G24</f>
        <v/>
      </c>
      <c r="H38" s="79">
        <f>SUM(H13:H37)-H24</f>
        <v/>
      </c>
      <c r="I38" s="79">
        <f>SUM(I13:I37)-I24</f>
        <v/>
      </c>
      <c r="J38" s="79">
        <f>SUM(J13:J37)-J24</f>
        <v/>
      </c>
      <c r="K38" s="79">
        <f>SUM(K13:K37)-K24</f>
        <v/>
      </c>
      <c r="L38" s="79">
        <f>SUM(L13:L37)-L24</f>
        <v/>
      </c>
      <c r="M38" s="79">
        <f>SUM(M13:M37)-M24</f>
        <v/>
      </c>
      <c r="N38" s="79">
        <f>SUM(N13:N37)-N24</f>
        <v/>
      </c>
      <c r="O38" s="79">
        <f>SUM(O13:O37)-O24</f>
        <v/>
      </c>
      <c r="Q38" s="79" t="n"/>
      <c r="IV38" s="79" t="n"/>
    </row>
    <row r="39">
      <c r="B39" s="81" t="inlineStr">
        <is>
          <t>Net</t>
        </is>
      </c>
      <c r="C39" s="79">
        <f>C38+C24</f>
        <v/>
      </c>
      <c r="D39" s="79">
        <f>D38+D24</f>
        <v/>
      </c>
      <c r="E39" s="79">
        <f>E38+E24</f>
        <v/>
      </c>
      <c r="F39" s="79">
        <f>F38+F24</f>
        <v/>
      </c>
      <c r="G39" s="79">
        <f>G38+G24</f>
        <v/>
      </c>
      <c r="H39" s="79">
        <f>H38+H24</f>
        <v/>
      </c>
      <c r="I39" s="79">
        <f>I38+I24</f>
        <v/>
      </c>
      <c r="J39" s="79">
        <f>J38+J24</f>
        <v/>
      </c>
      <c r="K39" s="79">
        <f>K38+K24</f>
        <v/>
      </c>
      <c r="L39" s="79">
        <f>L38+L24</f>
        <v/>
      </c>
      <c r="M39" s="79">
        <f>M38+M24</f>
        <v/>
      </c>
      <c r="N39" s="79">
        <f>N38+N24</f>
        <v/>
      </c>
      <c r="O39" s="79">
        <f>O38+O24</f>
        <v/>
      </c>
    </row>
    <row r="40" ht="15.5" customHeight="1" s="304">
      <c r="C40" s="79" t="n"/>
      <c r="D40" s="79" t="n"/>
      <c r="E40" s="79" t="n"/>
      <c r="F40" s="79" t="n"/>
      <c r="G40" s="79" t="n"/>
      <c r="H40" s="79" t="n"/>
      <c r="I40" s="79" t="n"/>
      <c r="J40" s="79" t="n"/>
      <c r="K40" s="79" t="n"/>
      <c r="L40" s="79" t="n"/>
      <c r="M40" s="79" t="n"/>
      <c r="N40" s="79" t="n"/>
      <c r="O40" s="79" t="n"/>
      <c r="Q40" s="79" t="n"/>
    </row>
    <row r="41" ht="15.5" customHeight="1" s="304">
      <c r="Q41" s="79" t="n"/>
    </row>
    <row r="42" ht="15.5" customHeight="1" s="304">
      <c r="C42" s="346" t="n"/>
      <c r="Q42" s="79" t="n"/>
      <c r="U42" s="80" t="n"/>
    </row>
    <row r="43">
      <c r="B43" s="81" t="n"/>
      <c r="C43" s="274" t="n"/>
    </row>
    <row r="44">
      <c r="B44" s="83" t="n"/>
      <c r="C44" s="274" t="n"/>
      <c r="D44" s="81" t="n"/>
    </row>
    <row r="45">
      <c r="B45" s="81" t="n"/>
      <c r="C45" s="274" t="n"/>
      <c r="D45" s="81" t="n"/>
      <c r="J45" s="84" t="n"/>
      <c r="K45" s="79" t="n"/>
    </row>
    <row r="46">
      <c r="B46" s="446" t="inlineStr">
        <is>
          <t>Book version</t>
        </is>
      </c>
      <c r="C46" s="447" t="inlineStr">
        <is>
          <t>v2.0</t>
        </is>
      </c>
      <c r="D46" s="81" t="n"/>
      <c r="J46" s="79" t="n"/>
      <c r="K46" s="79" t="n"/>
    </row>
    <row r="47">
      <c r="B47" s="81" t="n"/>
      <c r="C47" s="274" t="n"/>
      <c r="D47" s="81" t="n"/>
    </row>
    <row r="48">
      <c r="B48" s="81" t="n"/>
      <c r="C48" s="274" t="n"/>
      <c r="D48" s="81" t="n"/>
    </row>
    <row r="49">
      <c r="B49" s="81" t="n"/>
      <c r="C49" s="274" t="n"/>
      <c r="D49" s="81" t="n"/>
    </row>
    <row r="50">
      <c r="B50" s="81" t="n"/>
      <c r="C50" s="274" t="n"/>
      <c r="D50" s="81" t="n"/>
    </row>
    <row r="51">
      <c r="B51" s="81" t="n"/>
      <c r="C51" s="274" t="n"/>
      <c r="D51" s="84" t="n"/>
    </row>
    <row r="52">
      <c r="B52" s="81" t="n"/>
      <c r="C52" s="274" t="n"/>
      <c r="D52" s="84" t="n"/>
    </row>
    <row r="53">
      <c r="B53" s="81" t="n"/>
      <c r="C53" s="274" t="n"/>
      <c r="D53" s="84" t="n"/>
    </row>
    <row r="54">
      <c r="B54" s="81" t="n"/>
      <c r="C54" s="274" t="n"/>
      <c r="D54" s="81" t="n"/>
    </row>
    <row r="55">
      <c r="B55" s="81" t="n"/>
      <c r="C55" s="274" t="n"/>
      <c r="D55" s="84" t="n"/>
    </row>
    <row r="56">
      <c r="B56" s="81" t="n"/>
      <c r="C56" s="274" t="n"/>
      <c r="D56" s="84" t="n"/>
      <c r="E56" s="81" t="n"/>
    </row>
    <row r="57">
      <c r="B57" s="81" t="n"/>
      <c r="C57" s="274" t="n"/>
      <c r="D57" s="84" t="n"/>
      <c r="E57" s="81" t="n"/>
      <c r="G57" s="81" t="n"/>
    </row>
    <row r="58">
      <c r="B58" s="81" t="n"/>
      <c r="C58" s="274" t="n"/>
      <c r="D58" s="84" t="n"/>
    </row>
    <row r="59">
      <c r="B59" s="81" t="n"/>
      <c r="C59" s="274" t="n"/>
      <c r="G59" s="79" t="n"/>
    </row>
    <row r="60">
      <c r="B60" s="81" t="n"/>
      <c r="C60" s="274" t="n"/>
      <c r="D60" s="84" t="n"/>
    </row>
    <row r="61">
      <c r="B61" s="81" t="n"/>
      <c r="C61" s="274" t="n"/>
    </row>
    <row r="62">
      <c r="B62" s="81" t="n"/>
      <c r="C62" s="274" t="n"/>
      <c r="D62" s="84" t="n"/>
    </row>
    <row r="63">
      <c r="B63" s="81" t="n"/>
      <c r="C63" s="274" t="n"/>
      <c r="D63" s="84" t="n"/>
    </row>
    <row r="64">
      <c r="B64" s="81" t="n"/>
      <c r="C64" s="274" t="n"/>
      <c r="D64" s="84" t="n"/>
    </row>
    <row r="65">
      <c r="B65" s="81" t="n"/>
      <c r="C65" s="274" t="n"/>
      <c r="D65" s="84" t="n"/>
    </row>
    <row r="66">
      <c r="B66" s="81" t="n"/>
      <c r="C66" s="274" t="n"/>
      <c r="D66" s="84" t="n"/>
    </row>
    <row r="67">
      <c r="B67" s="81" t="n"/>
      <c r="C67" s="274" t="n"/>
      <c r="D67" s="84" t="n"/>
    </row>
    <row r="68">
      <c r="B68" s="81" t="n"/>
      <c r="C68" s="274" t="n"/>
      <c r="D68" s="84" t="n"/>
    </row>
    <row r="69">
      <c r="B69" s="81" t="n"/>
      <c r="C69" s="274" t="n"/>
      <c r="D69" s="84" t="n"/>
    </row>
    <row r="70">
      <c r="B70" s="81" t="n"/>
      <c r="C70" s="274" t="n"/>
      <c r="D70" s="84" t="n"/>
    </row>
    <row r="71">
      <c r="B71" s="81" t="n"/>
      <c r="C71" s="274" t="n"/>
      <c r="D71" s="84" t="n"/>
      <c r="E71" s="81" t="n"/>
    </row>
    <row r="72">
      <c r="B72" s="81" t="n"/>
      <c r="C72" s="274" t="n"/>
      <c r="D72" s="84" t="n"/>
    </row>
    <row r="73">
      <c r="B73" s="81" t="n"/>
      <c r="C73" s="274" t="n"/>
      <c r="D73" s="84" t="n"/>
    </row>
    <row r="74">
      <c r="B74" s="81" t="n"/>
      <c r="C74" s="274" t="n"/>
    </row>
    <row r="75">
      <c r="B75" s="81" t="n"/>
      <c r="C75" s="274" t="n"/>
      <c r="D75" s="81" t="n"/>
    </row>
    <row r="76">
      <c r="B76" s="81" t="n"/>
      <c r="C76" s="274" t="n"/>
    </row>
    <row r="77">
      <c r="B77" s="81" t="n"/>
      <c r="C77" s="274" t="n"/>
      <c r="D77" s="81" t="n"/>
    </row>
    <row r="78">
      <c r="B78" s="81" t="n"/>
      <c r="C78" s="274" t="n"/>
      <c r="D78" s="84" t="n"/>
    </row>
    <row r="79">
      <c r="B79" s="81" t="n"/>
      <c r="C79" s="274" t="n"/>
      <c r="D79" s="81" t="n"/>
    </row>
    <row r="80">
      <c r="B80" s="81" t="n"/>
      <c r="C80" s="274" t="n"/>
      <c r="D80" s="84" t="n"/>
    </row>
    <row r="81">
      <c r="B81" s="81" t="n"/>
      <c r="C81" s="274" t="n"/>
      <c r="D81" s="81" t="n"/>
    </row>
    <row r="82">
      <c r="B82" s="81" t="n"/>
      <c r="C82" s="274" t="n"/>
      <c r="D82" s="84" t="n"/>
      <c r="E82" s="81" t="n"/>
    </row>
    <row r="83">
      <c r="B83" s="81" t="n"/>
      <c r="C83" s="274" t="n"/>
    </row>
    <row r="84">
      <c r="B84" s="81" t="n"/>
      <c r="C84" s="274" t="n"/>
      <c r="D84" s="84" t="n"/>
    </row>
    <row r="85">
      <c r="B85" s="81" t="n"/>
      <c r="C85" s="274" t="n"/>
      <c r="D85" s="84" t="n"/>
    </row>
    <row r="86">
      <c r="B86" s="81" t="n"/>
      <c r="C86" s="274" t="n"/>
    </row>
    <row r="87">
      <c r="B87" s="81" t="n"/>
      <c r="C87" s="274" t="n"/>
    </row>
    <row r="88">
      <c r="B88" s="81" t="n"/>
      <c r="C88" s="274" t="n"/>
      <c r="D88" s="79" t="n"/>
    </row>
    <row r="89">
      <c r="B89" s="81" t="n"/>
      <c r="C89" s="274" t="n"/>
    </row>
    <row r="90">
      <c r="B90" s="81" t="n"/>
      <c r="C90" s="274" t="n"/>
      <c r="D90" s="81" t="n"/>
      <c r="I90" s="85" t="n"/>
      <c r="J90" s="85" t="n"/>
      <c r="K90" s="85" t="n"/>
      <c r="L90" s="85" t="n"/>
    </row>
    <row r="91">
      <c r="B91" s="81" t="n"/>
      <c r="C91" s="274" t="n"/>
      <c r="D91" s="81" t="n"/>
    </row>
    <row r="92">
      <c r="B92" s="81" t="n"/>
      <c r="C92" s="274" t="n"/>
      <c r="D92" s="84" t="n"/>
    </row>
    <row r="93">
      <c r="B93" s="81" t="n"/>
      <c r="C93" s="274" t="n"/>
      <c r="D93" s="81" t="n"/>
    </row>
    <row r="94">
      <c r="B94" s="81" t="n"/>
      <c r="C94" s="274" t="n"/>
    </row>
    <row r="95">
      <c r="B95" s="81" t="n"/>
      <c r="C95" s="274" t="n"/>
      <c r="D95" s="81" t="n"/>
    </row>
    <row r="96">
      <c r="B96" s="81" t="n"/>
      <c r="C96" s="79" t="n"/>
      <c r="D96" s="81" t="n"/>
    </row>
    <row r="97">
      <c r="B97" s="81" t="n"/>
      <c r="C97" s="79" t="n"/>
      <c r="D97" s="347" t="n"/>
    </row>
    <row r="98">
      <c r="B98" s="81" t="n"/>
      <c r="C98" s="79" t="n"/>
      <c r="D98" s="347" t="n"/>
    </row>
    <row r="99">
      <c r="B99" s="81" t="n"/>
      <c r="C99" s="79" t="n"/>
      <c r="D99" s="347" t="n"/>
    </row>
    <row r="100">
      <c r="B100" s="81" t="n"/>
      <c r="C100" s="79" t="n"/>
      <c r="D100" s="347" t="n"/>
    </row>
    <row r="101">
      <c r="B101" s="81" t="n"/>
      <c r="C101" s="79" t="n"/>
      <c r="D101" s="347" t="n"/>
    </row>
    <row r="102">
      <c r="B102" s="81" t="n"/>
      <c r="C102" s="274" t="n"/>
    </row>
    <row r="103">
      <c r="B103" s="81" t="n"/>
      <c r="C103" s="274" t="n"/>
      <c r="D103" s="347" t="n"/>
    </row>
    <row r="104">
      <c r="B104" s="81" t="n"/>
      <c r="C104" s="274" t="n"/>
      <c r="D104" s="347" t="n"/>
    </row>
    <row r="105">
      <c r="B105" s="81" t="n"/>
      <c r="C105" s="274" t="n"/>
      <c r="D105" s="347" t="n"/>
    </row>
    <row r="106">
      <c r="B106" s="81" t="n"/>
      <c r="C106" s="274" t="n"/>
      <c r="D106" s="347" t="n"/>
    </row>
    <row r="107">
      <c r="B107" s="81" t="n"/>
      <c r="C107" s="274" t="n"/>
      <c r="D107" s="84" t="n"/>
    </row>
    <row r="108">
      <c r="B108" s="81" t="n"/>
      <c r="C108" s="274" t="n"/>
      <c r="D108" s="81" t="n"/>
    </row>
    <row r="109">
      <c r="B109" s="81" t="n"/>
      <c r="C109" s="274" t="n"/>
    </row>
    <row r="110">
      <c r="B110" s="81" t="n"/>
      <c r="C110" s="274" t="n"/>
    </row>
    <row r="111">
      <c r="B111" s="81" t="n"/>
      <c r="C111" s="274" t="n"/>
      <c r="D111" s="81" t="n"/>
    </row>
    <row r="112">
      <c r="B112" s="81" t="n"/>
      <c r="C112" s="274" t="n"/>
      <c r="D112" s="81" t="n"/>
    </row>
    <row r="113">
      <c r="B113" s="81" t="n"/>
      <c r="C113" s="274" t="n"/>
      <c r="D113" s="81" t="n"/>
    </row>
    <row r="114">
      <c r="B114" s="81" t="n"/>
      <c r="C114" s="274" t="n"/>
      <c r="D114" s="81" t="n"/>
    </row>
    <row r="115">
      <c r="B115" s="81" t="n"/>
      <c r="C115" s="274" t="n"/>
    </row>
    <row r="116">
      <c r="B116" s="81" t="n"/>
      <c r="C116" s="274" t="n"/>
    </row>
    <row r="117">
      <c r="B117" s="81" t="n"/>
      <c r="C117" s="274" t="n"/>
      <c r="D117" s="84" t="n"/>
    </row>
    <row r="118">
      <c r="B118" s="81" t="n"/>
      <c r="C118" s="274" t="n"/>
    </row>
    <row r="119">
      <c r="C119" s="274" t="n"/>
      <c r="I119" s="79" t="n"/>
      <c r="J119" s="84" t="n"/>
    </row>
    <row r="120">
      <c r="C120" s="274" t="n"/>
    </row>
    <row r="121">
      <c r="C121" s="274" t="n"/>
    </row>
    <row r="122">
      <c r="C122" s="289" t="n"/>
      <c r="D122" s="81" t="n"/>
    </row>
    <row r="123">
      <c r="C123" s="274" t="n"/>
    </row>
    <row r="124">
      <c r="C124" s="274" t="n"/>
    </row>
    <row r="125">
      <c r="C125" s="274" t="n"/>
    </row>
    <row r="126">
      <c r="C126" s="274" t="n"/>
    </row>
    <row r="127" ht="15.5" customHeight="1" s="304"/>
  </sheetData>
  <mergeCells count="3">
    <mergeCell ref="C11:N11"/>
    <mergeCell ref="B2:P4"/>
    <mergeCell ref="B5:E5"/>
  </mergeCells>
  <conditionalFormatting sqref="B21:B37">
    <cfRule type="cellIs" priority="3" operator="equal" dxfId="5" stopIfTrue="1">
      <formula>"Sat"</formula>
    </cfRule>
    <cfRule type="cellIs" priority="4" operator="equal" dxfId="0" stopIfTrue="1">
      <formula>"Sun"</formula>
    </cfRule>
  </conditionalFormatting>
  <hyperlinks>
    <hyperlink ref="C8" location="'Jan'!C8" display="Jan"/>
    <hyperlink ref="D8" location="'Feb'!C8" display="Feb"/>
    <hyperlink ref="E8" location="'Mar'!C8" display="Mar"/>
    <hyperlink ref="F8" location="'Apr'!C8" display="Apr"/>
    <hyperlink ref="G8" location="'May'!C8" display="May"/>
    <hyperlink ref="H8" location="'Jun'!C8" display="Jun"/>
    <hyperlink ref="I8" location="'Jul'!C8" display="Jul"/>
    <hyperlink ref="J8" location="'Aug'!C8" display="Aug"/>
    <hyperlink ref="K8" location="'Sep'!C8" display="Sep"/>
    <hyperlink ref="L8" location="'Oct'!C8" display="Oct"/>
    <hyperlink ref="M8" location="'Nov'!C8" display="Nov"/>
    <hyperlink ref="N8" location="'Dec'!C8" display="Dec"/>
    <hyperlink ref="C12" location="'Jan'!C8" display="Jan"/>
    <hyperlink ref="D12" location="'Feb'!C8" display="Feb"/>
    <hyperlink ref="E12" location="'Mar'!C8" display="Mar"/>
    <hyperlink ref="F12" location="'Apr'!C8" display="Apr"/>
    <hyperlink ref="G12" location="'May'!C8" display="May"/>
    <hyperlink ref="H12" location="'Jun'!C8" display="Jun"/>
    <hyperlink ref="I12" location="'Jul'!C8" display="Jul"/>
    <hyperlink ref="J12" location="'Aug'!C8" display="Aug"/>
    <hyperlink ref="K12" location="'Sep'!C8" display="Sep"/>
    <hyperlink ref="L12" location="'Oct'!C8" display="Oct"/>
    <hyperlink ref="M12" location="'Nov'!C8" display="Nov"/>
    <hyperlink ref="N12" location="'Dec'!C8" display="Dec"/>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indexed="45"/>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C18" sqref="C18"/>
    </sheetView>
  </sheetViews>
  <sheetFormatPr baseColWidth="8" defaultColWidth="8.90625" defaultRowHeight="13.5"/>
  <cols>
    <col width="1.08984375" customWidth="1" style="1" min="1" max="1"/>
    <col width="27" customWidth="1" style="1" min="2" max="2"/>
    <col width="13.90625" bestFit="1" customWidth="1" style="1" min="3" max="3"/>
    <col width="14" bestFit="1" customWidth="1" style="1" min="4" max="4"/>
    <col width="1.6328125" customWidth="1" style="1" min="5" max="5"/>
    <col width="29" bestFit="1" customWidth="1" style="1" min="6" max="6"/>
    <col width="10.08984375" bestFit="1" customWidth="1" style="1" min="7" max="7"/>
    <col width="1.6328125" customWidth="1" style="1" min="8" max="8"/>
    <col width="25" customWidth="1" style="1" min="9" max="9"/>
    <col width="10.08984375" customWidth="1" style="1" min="10" max="10"/>
    <col width="12.6328125" bestFit="1" customWidth="1" style="1" min="11" max="11"/>
    <col width="10.08984375" customWidth="1" style="1" min="12" max="12"/>
    <col width="9.90625"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2.6328125" customWidth="1" style="1" min="24" max="24"/>
    <col width="12.6328125" bestFit="1" customWidth="1" style="1" min="25" max="25"/>
    <col width="11.08984375" customWidth="1" style="1" min="26" max="26"/>
    <col width="10.6328125" bestFit="1" customWidth="1" style="1" min="27" max="27"/>
    <col width="9.36328125" customWidth="1" style="1" min="28" max="28"/>
    <col width="12.6328125" bestFit="1" customWidth="1" style="1" min="29" max="29"/>
    <col width="8.90625" customWidth="1" style="1" min="30" max="32"/>
    <col width="11" bestFit="1" customWidth="1" style="1" min="33" max="33"/>
    <col width="8.90625" customWidth="1" style="1" min="34" max="34"/>
    <col width="10.6328125" bestFit="1" customWidth="1" style="1" min="35" max="35"/>
    <col width="8.90625" customWidth="1" style="1" min="36" max="36"/>
    <col width="10.6328125" bestFit="1" customWidth="1" style="1" min="37" max="37"/>
    <col width="8.90625" customWidth="1" style="1" min="38" max="38"/>
    <col width="11" bestFit="1" customWidth="1" style="1" min="39" max="39"/>
    <col width="8.90625" customWidth="1" style="1" min="40" max="40"/>
    <col width="10.6328125" bestFit="1" customWidth="1" style="1" min="41" max="41"/>
    <col width="8.90625" customWidth="1" style="1" min="42" max="42"/>
    <col width="11" bestFit="1" customWidth="1" style="1" min="43" max="43"/>
    <col width="8.90625" customWidth="1" style="1" min="44" max="44"/>
    <col width="10.6328125" bestFit="1" customWidth="1" style="1" min="45" max="45"/>
    <col width="8.90625" customWidth="1" style="1" min="46" max="46"/>
    <col width="12.6328125" bestFit="1" customWidth="1" style="1" min="47" max="47"/>
    <col width="8.90625" customWidth="1" style="1" min="48" max="48"/>
    <col width="12.6328125" bestFit="1" customWidth="1" style="1" min="49" max="49"/>
    <col width="8.90625" customWidth="1" style="1" min="50" max="50"/>
    <col width="12.6328125" bestFit="1" customWidth="1" style="1" min="51" max="51"/>
    <col width="11.08984375" customWidth="1" style="1" min="52" max="52"/>
    <col width="12.6328125" bestFit="1" customWidth="1" style="1" min="53" max="53"/>
    <col width="11.6328125" customWidth="1" style="1" min="54" max="54"/>
    <col width="12.6328125" bestFit="1" customWidth="1" style="1" min="55" max="55"/>
    <col width="11.90625" customWidth="1" style="1" min="56" max="56"/>
    <col width="12.6328125" bestFit="1" customWidth="1" style="1" min="57" max="57"/>
    <col width="12.36328125" customWidth="1" style="1" min="58" max="58"/>
    <col width="12.6328125" bestFit="1" customWidth="1" style="1" min="59" max="59"/>
    <col width="11.08984375" customWidth="1" style="1" min="60" max="60"/>
    <col width="12.6328125" bestFit="1" customWidth="1" style="1" min="61" max="61"/>
    <col width="10" customWidth="1" style="1" min="62" max="62"/>
    <col width="12.6328125" bestFit="1" customWidth="1" style="1" min="63" max="63"/>
    <col width="10.36328125" customWidth="1" style="1" min="64" max="64"/>
    <col width="12.6328125" bestFit="1" customWidth="1" style="1" min="65" max="65"/>
    <col width="11.36328125" customWidth="1" style="1" min="66" max="66"/>
    <col width="12.6328125" bestFit="1" customWidth="1" style="1" min="67" max="67"/>
    <col width="10.6328125" customWidth="1" style="1" min="68" max="68"/>
    <col width="12.6328125" bestFit="1" customWidth="1" style="1" min="69" max="69"/>
    <col width="11"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1</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f>IF(BP2="","",IF(BP2&gt;=$C$1,"",BP2+1))</f>
        <v/>
      </c>
      <c r="BS2" s="96">
        <f>IF(BR2="","",TEXT(BR2,"ddd"))</f>
        <v/>
      </c>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inlineStr">
        <is>
          <t>Item</t>
        </is>
      </c>
      <c r="BS5" s="107" t="inlineStr">
        <is>
          <t>Amount</t>
        </is>
      </c>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115"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115"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115"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115"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115">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c r="BU28" s="390"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2"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1" t="n"/>
      <c r="AY36" s="370" t="n"/>
      <c r="AZ36" s="371" t="n"/>
      <c r="BA36" s="370" t="n"/>
      <c r="BB36" s="371" t="n"/>
      <c r="BC36" s="370" t="n"/>
      <c r="BD36" s="371" t="n"/>
      <c r="BE36" s="53"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95"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BR45" s="62" t="n"/>
      <c r="BS45" s="62" t="n"/>
      <c r="BT45" s="62" t="n"/>
      <c r="BU45" s="62" t="n"/>
    </row>
    <row r="46" ht="14" customHeight="1" s="304">
      <c r="AW46" s="166" t="n"/>
      <c r="BA46" s="166" t="n"/>
      <c r="BC46" s="166" t="n"/>
    </row>
    <row r="47" ht="40" customHeight="1" s="304">
      <c r="B47" s="448" t="inlineStr">
        <is>
          <t>Transactions this month
One row per posted line. These rows are not included in the totals above. Payments are not listed.</t>
        </is>
      </c>
      <c r="BM47" s="166" t="n"/>
      <c r="BS47" s="166" t="n"/>
    </row>
    <row r="48" ht="32" customHeight="1" s="304">
      <c r="B48" s="449" t="inlineStr">
        <is>
          <t>Card</t>
        </is>
      </c>
      <c r="C48" s="449" t="inlineStr">
        <is>
          <t>Trans date</t>
        </is>
      </c>
      <c r="D48" s="449" t="inlineStr">
        <is>
          <t>Post date</t>
        </is>
      </c>
      <c r="E48" s="62" t="n"/>
      <c r="F48" s="449" t="inlineStr">
        <is>
          <t>Description</t>
        </is>
      </c>
      <c r="G48" s="449" t="inlineStr">
        <is>
          <t>Amount</t>
        </is>
      </c>
      <c r="I48" s="449" t="inlineStr">
        <is>
          <t>Category</t>
        </is>
      </c>
      <c r="J48" s="449" t="inlineStr">
        <is>
          <t>Receipt #</t>
        </is>
      </c>
      <c r="K48" s="449" t="n"/>
      <c r="L48" s="449" t="n"/>
      <c r="S48" s="449" t="n"/>
      <c r="AW48" s="166" t="n"/>
      <c r="AX48" s="166"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62" t="n"/>
      <c r="C49" s="62" t="n"/>
      <c r="D49" s="62" t="n"/>
      <c r="E49" s="62" t="n"/>
      <c r="F49" s="62" t="n"/>
      <c r="G49" s="461" t="n"/>
      <c r="AW49" s="166" t="n"/>
    </row>
    <row r="50" ht="14" customHeight="1" s="304">
      <c r="B50" s="62" t="n"/>
      <c r="C50" s="62" t="n"/>
      <c r="D50" s="62" t="n"/>
      <c r="E50" s="62" t="n"/>
      <c r="F50" s="62" t="n"/>
      <c r="G50" s="461" t="n"/>
    </row>
    <row r="51" ht="14" customHeight="1" s="304">
      <c r="B51" s="62" t="n"/>
      <c r="C51" s="62" t="n"/>
      <c r="D51" s="62" t="n"/>
      <c r="E51" s="62" t="n"/>
      <c r="F51" s="62" t="n"/>
      <c r="G51" s="461" t="n"/>
    </row>
    <row r="52" ht="14" customHeight="1" s="304">
      <c r="B52" s="45" t="n"/>
      <c r="C52" s="47" t="n"/>
      <c r="D52" s="167" t="n"/>
      <c r="E52" s="48" t="n"/>
      <c r="F52" s="62" t="n"/>
      <c r="G52" s="461" t="n"/>
    </row>
    <row r="53" ht="14" customHeight="1" s="304">
      <c r="B53" s="45" t="n"/>
      <c r="C53" s="47" t="n"/>
      <c r="D53" s="167" t="n"/>
      <c r="E53" s="48" t="n"/>
      <c r="F53" s="62" t="n"/>
      <c r="G53" s="461" t="n"/>
    </row>
    <row r="54" ht="14" customHeight="1" s="304">
      <c r="B54" s="45" t="n"/>
      <c r="C54" s="47" t="n"/>
      <c r="D54" s="167" t="n"/>
      <c r="E54" s="48" t="n"/>
      <c r="F54" s="62" t="n"/>
      <c r="G54" s="461" t="n"/>
    </row>
    <row r="55" ht="14" customHeight="1" s="304">
      <c r="B55" s="45" t="n"/>
      <c r="C55" s="47" t="n"/>
      <c r="D55" s="167" t="n"/>
      <c r="E55" s="48" t="n"/>
      <c r="F55" s="62" t="n"/>
      <c r="G55" s="461" t="n"/>
    </row>
    <row r="56" ht="14" customHeight="1" s="304">
      <c r="B56" s="45" t="n"/>
      <c r="C56" s="47" t="n"/>
      <c r="D56" s="167" t="n"/>
      <c r="E56" s="48" t="n"/>
      <c r="F56" s="62" t="n"/>
      <c r="G56" s="461" t="n"/>
    </row>
    <row r="57" ht="14" customHeight="1" s="304">
      <c r="B57" s="62" t="n"/>
      <c r="C57" s="62" t="n"/>
      <c r="D57" s="168" t="n"/>
      <c r="E57" s="62" t="n"/>
      <c r="F57" s="62" t="n"/>
      <c r="G57" s="461" t="n"/>
    </row>
    <row r="58" ht="14" customHeight="1" s="304">
      <c r="B58" s="62" t="n"/>
      <c r="C58" s="62" t="n"/>
      <c r="D58" s="62" t="n"/>
      <c r="E58" s="62" t="n"/>
      <c r="F58" s="62" t="n"/>
      <c r="G58" s="461" t="n"/>
    </row>
    <row r="59" ht="14" customHeight="1" s="304">
      <c r="B59" s="62" t="n"/>
      <c r="C59" s="62" t="n"/>
      <c r="D59" s="62" t="n"/>
      <c r="E59" s="62" t="n"/>
      <c r="F59" s="62" t="n"/>
      <c r="G59" s="461" t="n"/>
    </row>
    <row r="60" ht="14" customHeight="1" s="304">
      <c r="D60" s="409" t="n"/>
      <c r="G60" s="461" t="n"/>
    </row>
    <row r="61" ht="14" customHeight="1" s="304">
      <c r="B61" s="170" t="n"/>
      <c r="C61" s="170" t="n"/>
      <c r="D61" s="170" t="n"/>
      <c r="E61" s="170" t="n"/>
      <c r="G61" s="461" t="n"/>
    </row>
    <row r="62" ht="14" customHeight="1" s="304">
      <c r="B62" s="170" t="n"/>
      <c r="C62" s="170" t="n"/>
      <c r="D62" s="170" t="n"/>
      <c r="E62" s="170" t="n"/>
      <c r="G62" s="461" t="n"/>
    </row>
    <row r="63" ht="14" customHeight="1" s="304">
      <c r="B63" s="170" t="n"/>
      <c r="C63" s="170" t="n"/>
      <c r="D63" s="170" t="n"/>
      <c r="E63" s="170" t="n"/>
      <c r="G63" s="461" t="n"/>
    </row>
    <row r="64" ht="14" customHeight="1" s="304">
      <c r="B64" s="170" t="n"/>
      <c r="C64" s="170" t="n"/>
      <c r="D64" s="170" t="n"/>
      <c r="E64" s="170" t="n"/>
      <c r="G64" s="461" t="n"/>
    </row>
    <row r="65" ht="14" customHeight="1" s="304">
      <c r="B65" s="170" t="n"/>
      <c r="C65" s="170" t="n"/>
      <c r="D65" s="170" t="n"/>
      <c r="E65" s="170" t="n"/>
      <c r="G65" s="461" t="n"/>
    </row>
    <row r="66" ht="14" customHeight="1" s="304">
      <c r="B66" s="170" t="n"/>
      <c r="C66" s="170" t="n"/>
      <c r="D66" s="170" t="n"/>
      <c r="E66" s="170" t="n"/>
      <c r="G66" s="461" t="n"/>
    </row>
    <row r="67" ht="14" customHeight="1" s="304">
      <c r="B67" s="170" t="n"/>
      <c r="C67" s="170" t="n"/>
      <c r="D67" s="170" t="n"/>
      <c r="E67" s="170" t="n"/>
      <c r="G67" s="461" t="n"/>
    </row>
    <row r="68">
      <c r="G68" s="461" t="n"/>
    </row>
    <row r="69">
      <c r="G69" s="461" t="n"/>
    </row>
    <row r="70" ht="14" customHeight="1" s="304">
      <c r="C70" s="166" t="n"/>
      <c r="G70" s="461" t="n"/>
    </row>
    <row r="71" ht="14" customHeight="1" s="304">
      <c r="B71" s="170" t="n"/>
      <c r="G71" s="461" t="n"/>
    </row>
    <row r="72">
      <c r="G72" s="461" t="n"/>
    </row>
    <row r="73">
      <c r="G73" s="461" t="n"/>
    </row>
    <row r="74">
      <c r="G74" s="461" t="n"/>
    </row>
    <row r="75">
      <c r="G75" s="461" t="n"/>
    </row>
    <row r="76" ht="14" customHeight="1" s="304">
      <c r="C76" s="170" t="n"/>
      <c r="G76" s="461" t="n"/>
    </row>
    <row r="77">
      <c r="G77" s="461" t="n"/>
    </row>
    <row r="78">
      <c r="G78" s="461" t="n"/>
    </row>
    <row r="79">
      <c r="G79" s="461" t="n"/>
    </row>
    <row r="80">
      <c r="G80" s="461" t="n"/>
    </row>
    <row r="81">
      <c r="G81" s="461" t="n"/>
    </row>
    <row r="82">
      <c r="G82" s="461" t="n"/>
    </row>
    <row r="83">
      <c r="G83" s="461" t="n"/>
    </row>
    <row r="84">
      <c r="G84" s="461" t="n"/>
    </row>
    <row r="85">
      <c r="G85" s="461" t="n"/>
    </row>
    <row r="86">
      <c r="G86" s="461" t="n"/>
    </row>
    <row r="87">
      <c r="G87" s="461" t="n"/>
    </row>
    <row r="88">
      <c r="G88" s="461" t="n"/>
    </row>
    <row r="89">
      <c r="G89" s="461" t="n"/>
    </row>
    <row r="90">
      <c r="G90" s="461" t="n"/>
    </row>
    <row r="91">
      <c r="G91" s="461" t="n"/>
    </row>
    <row r="92">
      <c r="G92" s="461" t="n"/>
    </row>
    <row r="93">
      <c r="G93" s="461" t="n"/>
    </row>
    <row r="94">
      <c r="G94" s="461" t="n"/>
    </row>
    <row r="95">
      <c r="G95" s="461" t="n"/>
    </row>
    <row r="96">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AD3:AE3"/>
    <mergeCell ref="I30:I31"/>
    <mergeCell ref="AF3:AG3"/>
    <mergeCell ref="AX4:AY4"/>
    <mergeCell ref="F22:G23"/>
    <mergeCell ref="P4:Q4"/>
    <mergeCell ref="BH4:BI4"/>
    <mergeCell ref="AN3:AO3"/>
    <mergeCell ref="I17:I19"/>
    <mergeCell ref="BJ4:BK4"/>
    <mergeCell ref="AP3:AQ3"/>
    <mergeCell ref="BB3:BC3"/>
    <mergeCell ref="AH3:AI3"/>
    <mergeCell ref="B47:I47"/>
    <mergeCell ref="V3:W3"/>
    <mergeCell ref="N4:O4"/>
    <mergeCell ref="B150:I150"/>
    <mergeCell ref="AB4:AC4"/>
    <mergeCell ref="R4:S4"/>
    <mergeCell ref="T4:U4"/>
    <mergeCell ref="AT3:AU3"/>
    <mergeCell ref="L3:M3"/>
    <mergeCell ref="BF3:BG3"/>
    <mergeCell ref="BD3:BE3"/>
    <mergeCell ref="N3:O3"/>
    <mergeCell ref="BP4:BQ4"/>
    <mergeCell ref="AH4:AI4"/>
    <mergeCell ref="AN4:AO4"/>
    <mergeCell ref="BH3:BI3"/>
    <mergeCell ref="BN3:BO3"/>
    <mergeCell ref="BP3:BQ3"/>
    <mergeCell ref="BR3:BS3"/>
    <mergeCell ref="AV3:AW3"/>
    <mergeCell ref="X3:Y3"/>
    <mergeCell ref="AR4:AS4"/>
    <mergeCell ref="I22:I27"/>
    <mergeCell ref="AT4:AU4"/>
    <mergeCell ref="AZ4:BA4"/>
    <mergeCell ref="Z3:AA3"/>
    <mergeCell ref="AV4:AW4"/>
    <mergeCell ref="BB4:BC4"/>
    <mergeCell ref="J4:K4"/>
    <mergeCell ref="BD4:BE4"/>
    <mergeCell ref="L4:M4"/>
    <mergeCell ref="AJ3:AK3"/>
    <mergeCell ref="BF4:BG4"/>
    <mergeCell ref="BL4:BM4"/>
    <mergeCell ref="AL3:AM3"/>
    <mergeCell ref="BN4:BO4"/>
    <mergeCell ref="AF4:AG4"/>
    <mergeCell ref="F26:G39"/>
    <mergeCell ref="R3:S3"/>
    <mergeCell ref="I6:I16"/>
    <mergeCell ref="X4:Y4"/>
    <mergeCell ref="J3:K3"/>
    <mergeCell ref="BR4:BS4"/>
    <mergeCell ref="AJ4:AK4"/>
    <mergeCell ref="Z4:AA4"/>
    <mergeCell ref="AL4:AM4"/>
    <mergeCell ref="BJ3:BK3"/>
    <mergeCell ref="BL3:BM3"/>
    <mergeCell ref="AX3:AY3"/>
    <mergeCell ref="AZ3:BA3"/>
    <mergeCell ref="P3:Q3"/>
    <mergeCell ref="F18:G19"/>
    <mergeCell ref="AR3:AS3"/>
    <mergeCell ref="V4:W4"/>
    <mergeCell ref="T3:U3"/>
    <mergeCell ref="AD4:AE4"/>
    <mergeCell ref="AP4:AQ4"/>
    <mergeCell ref="AB3:AC3"/>
  </mergeCells>
  <conditionalFormatting sqref="A1:H2 A3:I4 A5:A44 A76:A79 B5:H5 B77:C79 D27:E28 E20:G21 E22:F22 E23:E26 E29:E30 F6:G14 F17:G17 F25:F26 F40:G44 H6:H44 I2 I5:I6 I9 I20 J5:BS16 BT1:IV44">
    <cfRule type="cellIs" priority="326" operator="equal" dxfId="0" stopIfTrue="1">
      <formula>"Sun"</formula>
    </cfRule>
    <cfRule type="cellIs" priority="325" operator="equal" dxfId="5" stopIfTrue="1">
      <formula>"Sat"</formula>
    </cfRule>
  </conditionalFormatting>
  <conditionalFormatting sqref="B18:B30">
    <cfRule type="cellIs" priority="120" operator="equal" dxfId="0" stopIfTrue="1">
      <formula>"Sun"</formula>
    </cfRule>
    <cfRule type="cellIs" priority="119" operator="equal" dxfId="5" stopIfTrue="1">
      <formula>"Sat"</formula>
    </cfRule>
  </conditionalFormatting>
  <conditionalFormatting sqref="B6:E17">
    <cfRule type="cellIs" priority="254" operator="equal" dxfId="0" stopIfTrue="1">
      <formula>"Sun"</formula>
    </cfRule>
    <cfRule type="cellIs" priority="253" operator="equal" dxfId="5" stopIfTrue="1">
      <formula>"Sat"</formula>
    </cfRule>
  </conditionalFormatting>
  <conditionalFormatting sqref="B31:E44">
    <cfRule type="cellIs" priority="293" operator="equal" dxfId="5" stopIfTrue="1">
      <formula>"Sat"</formula>
    </cfRule>
    <cfRule type="cellIs" priority="294" operator="equal" dxfId="0" stopIfTrue="1">
      <formula>"Sun"</formula>
    </cfRule>
  </conditionalFormatting>
  <conditionalFormatting sqref="C26:C27">
    <cfRule type="cellIs" priority="21" operator="equal" dxfId="5" stopIfTrue="1">
      <formula>"Sat"</formula>
    </cfRule>
    <cfRule type="cellIs" priority="22" operator="equal" dxfId="0" stopIfTrue="1">
      <formula>"Sun"</formula>
    </cfRule>
  </conditionalFormatting>
  <conditionalFormatting sqref="C29:C30">
    <cfRule type="cellIs" priority="19" operator="equal" dxfId="5" stopIfTrue="1">
      <formula>"Sat"</formula>
    </cfRule>
    <cfRule type="cellIs" priority="20" operator="equal" dxfId="0" stopIfTrue="1">
      <formula>"Sun"</formula>
    </cfRule>
  </conditionalFormatting>
  <conditionalFormatting sqref="C21:D22">
    <cfRule type="cellIs" priority="23" operator="equal" dxfId="5" stopIfTrue="1">
      <formula>"Sat"</formula>
    </cfRule>
    <cfRule type="cellIs" priority="24" operator="equal" dxfId="0" stopIfTrue="1">
      <formula>"Sun"</formula>
    </cfRule>
  </conditionalFormatting>
  <conditionalFormatting sqref="C24:D24">
    <cfRule type="cellIs" priority="25" operator="equal" dxfId="5" stopIfTrue="1">
      <formula>"Sat"</formula>
    </cfRule>
    <cfRule type="cellIs" priority="26" operator="equal" dxfId="0" stopIfTrue="1">
      <formula>"Sun"</formula>
    </cfRule>
  </conditionalFormatting>
  <conditionalFormatting sqref="C19:E19">
    <cfRule type="cellIs" priority="27" operator="equal" dxfId="5" stopIfTrue="1">
      <formula>"Sat"</formula>
    </cfRule>
    <cfRule type="cellIs" priority="28" operator="equal" dxfId="0" stopIfTrue="1">
      <formula>"Sun"</formula>
    </cfRule>
  </conditionalFormatting>
  <conditionalFormatting sqref="C18:F18">
    <cfRule type="cellIs" priority="49" operator="equal" dxfId="5" stopIfTrue="1">
      <formula>"Sat"</formula>
    </cfRule>
    <cfRule type="cellIs" priority="50" operator="equal" dxfId="0" stopIfTrue="1">
      <formula>"Sun"</formula>
    </cfRule>
  </conditionalFormatting>
  <conditionalFormatting sqref="D26">
    <cfRule type="cellIs" priority="68" operator="equal" dxfId="0" stopIfTrue="1">
      <formula>"Sun"</formula>
    </cfRule>
    <cfRule type="cellIs" priority="67" operator="equal" dxfId="5" stopIfTrue="1">
      <formula>"Sat"</formula>
    </cfRule>
  </conditionalFormatting>
  <conditionalFormatting sqref="G47:BS47">
    <cfRule type="cellIs" priority="136" operator="equal" dxfId="0" stopIfTrue="1">
      <formula>"Sun"</formula>
    </cfRule>
    <cfRule type="cellIs" priority="135" operator="equal" dxfId="5" stopIfTrue="1">
      <formula>"Sat"</formula>
    </cfRule>
  </conditionalFormatting>
  <conditionalFormatting sqref="I22:I37">
    <cfRule type="cellIs" priority="278" operator="equal" dxfId="0" stopIfTrue="1">
      <formula>"Sun"</formula>
    </cfRule>
    <cfRule type="cellIs" priority="277" operator="equal" dxfId="5" stopIfTrue="1">
      <formula>"Sat"</formula>
    </cfRule>
  </conditionalFormatting>
  <conditionalFormatting sqref="I17:BS17">
    <cfRule type="cellIs" priority="117" operator="equal" dxfId="5" stopIfTrue="1">
      <formula>"Sat"</formula>
    </cfRule>
    <cfRule type="cellIs" priority="118" operator="equal" dxfId="0" stopIfTrue="1">
      <formula>"Sun"</formula>
    </cfRule>
  </conditionalFormatting>
  <conditionalFormatting sqref="I21:BS21">
    <cfRule type="cellIs" priority="304" operator="equal" dxfId="0" stopIfTrue="1">
      <formula>"Sun"</formula>
    </cfRule>
    <cfRule type="cellIs" priority="303" operator="equal" dxfId="5" stopIfTrue="1">
      <formula>"Sat"</formula>
    </cfRule>
  </conditionalFormatting>
  <conditionalFormatting sqref="I42:BS44">
    <cfRule type="cellIs" priority="202" operator="equal" dxfId="0" stopIfTrue="1">
      <formula>"Sun"</formula>
    </cfRule>
    <cfRule type="cellIs" priority="201" operator="equal" dxfId="5" stopIfTrue="1">
      <formula>"Sat"</formula>
    </cfRule>
  </conditionalFormatting>
  <conditionalFormatting sqref="A45:BQ45 A46:BS46 A47:A59 A60:BR60 A61:A67 A68:BR75 A80:BR65509 D76:BR79 F61:BR67 G48:BR59 J24:AE24 J25:AN26 J26:M27 J27:BR27 J29:N31 J29:AQ29 J30:O30 J31:BR31 M24:N27 BS48:BS65510 BT46:XFD65509 BV45:XFD45">
    <cfRule type="cellIs" priority="318" operator="equal" dxfId="0" stopIfTrue="1">
      <formula>"Sun"</formula>
    </cfRule>
  </conditionalFormatting>
  <conditionalFormatting sqref="J22:AN23">
    <cfRule type="cellIs" priority="12" operator="equal" dxfId="0" stopIfTrue="1">
      <formula>"Sun"</formula>
    </cfRule>
  </conditionalFormatting>
  <conditionalFormatting sqref="J28:BR28">
    <cfRule type="cellIs" priority="14" operator="equal" dxfId="0" stopIfTrue="1">
      <formula>"Sun"</formula>
    </cfRule>
  </conditionalFormatting>
  <conditionalFormatting sqref="J32:BR36">
    <cfRule type="cellIs" priority="32" operator="equal" dxfId="0" stopIfTrue="1">
      <formula>"Sun"</formula>
    </cfRule>
  </conditionalFormatting>
  <conditionalFormatting sqref="J18:BS20">
    <cfRule type="cellIs" priority="301" operator="equal" dxfId="5" stopIfTrue="1">
      <formula>"Sat"</formula>
    </cfRule>
    <cfRule type="cellIs" priority="302" operator="equal" dxfId="0" stopIfTrue="1">
      <formula>"Sun"</formula>
    </cfRule>
  </conditionalFormatting>
  <conditionalFormatting sqref="J29:BS29">
    <cfRule type="cellIs" priority="2" operator="equal" dxfId="5" stopIfTrue="1">
      <formula>"Sat"</formula>
    </cfRule>
  </conditionalFormatting>
  <conditionalFormatting sqref="J22:BS28 J30:BS41">
    <cfRule type="cellIs" priority="9" operator="equal" dxfId="5" stopIfTrue="1">
      <formula>"Sat"</formula>
    </cfRule>
  </conditionalFormatting>
  <conditionalFormatting sqref="J37:BS41">
    <cfRule type="cellIs" priority="134" operator="equal" dxfId="0" stopIfTrue="1">
      <formula>"Sun"</formula>
    </cfRule>
  </conditionalFormatting>
  <conditionalFormatting sqref="A45:BQ45 A46:BS46 A47:A59 A60:BR60 A61:A67 A68:BR75 A80:BR65509 D76:BR79 F61:BR67 G48:BR59 J26:M27 J29:N31 M24:N27 BS48:BS65510 BT46:XFD65509 BV45:XFD45">
    <cfRule type="cellIs" priority="317" operator="equal" dxfId="5" stopIfTrue="1">
      <formula>"Sat"</formula>
    </cfRule>
  </conditionalFormatting>
  <conditionalFormatting sqref="P30:BR30">
    <cfRule type="cellIs" priority="10" operator="equal" dxfId="0" stopIfTrue="1">
      <formula>"Sun"</formula>
    </cfRule>
  </conditionalFormatting>
  <conditionalFormatting sqref="S28:T28">
    <cfRule type="cellIs" priority="4" operator="equal" dxfId="0" stopIfTrue="1">
      <formula>"Sun"</formula>
    </cfRule>
  </conditionalFormatting>
  <conditionalFormatting sqref="AF24:AN24">
    <cfRule type="cellIs" priority="116" operator="equal" dxfId="0" stopIfTrue="1">
      <formula>"Sun"</formula>
    </cfRule>
  </conditionalFormatting>
  <conditionalFormatting sqref="AL35:AM35">
    <cfRule type="cellIs" priority="6" operator="equal" dxfId="0" stopIfTrue="1">
      <formula>"Sun"</formula>
    </cfRule>
  </conditionalFormatting>
  <conditionalFormatting sqref="AO22:BR26">
    <cfRule type="cellIs" priority="30" operator="equal" dxfId="0" stopIfTrue="1">
      <formula>"Sun"</formula>
    </cfRule>
  </conditionalFormatting>
  <conditionalFormatting sqref="AP30:AQ30">
    <cfRule type="cellIs" priority="1" operator="equal" dxfId="0" stopIfTrue="1">
      <formula>"Sun"</formula>
    </cfRule>
  </conditionalFormatting>
  <conditionalFormatting sqref="AR37">
    <cfRule type="cellIs" priority="7" operator="equal" dxfId="0" stopIfTrue="1">
      <formula>"Sun"</formula>
    </cfRule>
  </conditionalFormatting>
  <conditionalFormatting sqref="AR29:BR29">
    <cfRule type="cellIs" priority="3" operator="equal" dxfId="0" stopIfTrue="1">
      <formula>"Sun"</formula>
    </cfRule>
  </conditionalFormatting>
  <conditionalFormatting sqref="AX36:AY36">
    <cfRule type="cellIs" priority="8" operator="equal" dxfId="0" stopIfTrue="1">
      <formula>"Sun"</formula>
    </cfRule>
  </conditionalFormatting>
  <conditionalFormatting sqref="BB37:BC37">
    <cfRule type="cellIs" priority="5" operator="equal" dxfId="0" stopIfTrue="1">
      <formula>"Sun"</formula>
    </cfRule>
  </conditionalFormatting>
  <conditionalFormatting sqref="BS22:BS36">
    <cfRule type="cellIs" priority="212"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3.xml><?xml version="1.0" encoding="utf-8"?>
<worksheet xmlns="http://schemas.openxmlformats.org/spreadsheetml/2006/main">
  <sheetPr>
    <tabColor indexed="51"/>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BH32" sqref="BH32"/>
    </sheetView>
  </sheetViews>
  <sheetFormatPr baseColWidth="8" defaultColWidth="8.90625" defaultRowHeight="13.5"/>
  <cols>
    <col width="1.08984375" customWidth="1" style="1" min="1" max="1"/>
    <col width="27" customWidth="1" style="1" min="2" max="2"/>
    <col width="12.90625" bestFit="1" customWidth="1" style="1" min="3" max="3"/>
    <col width="14" bestFit="1" customWidth="1" style="1" min="4" max="4"/>
    <col width="1.6328125" customWidth="1" style="1" min="5" max="5"/>
    <col width="29" bestFit="1" customWidth="1" style="1" min="6" max="6"/>
    <col width="10.08984375" bestFit="1" customWidth="1" style="1" min="7" max="7"/>
    <col width="1.6328125" customWidth="1" style="1" min="8" max="8"/>
    <col width="25" customWidth="1" style="1" min="9" max="9"/>
    <col width="10.08984375" customWidth="1" style="1" min="10" max="10"/>
    <col width="11" bestFit="1" customWidth="1" style="1" min="11" max="11"/>
    <col width="10.08984375" customWidth="1" style="1" min="12" max="12"/>
    <col width="9.90625"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2.6328125" customWidth="1" style="1" min="24" max="24"/>
    <col width="12.6328125" bestFit="1" customWidth="1" style="1" min="25" max="25"/>
    <col width="11.08984375" customWidth="1" style="1" min="26" max="26"/>
    <col width="12.08984375" bestFit="1" customWidth="1" style="1" min="27" max="27"/>
    <col width="9.36328125" customWidth="1" style="1" min="28" max="28"/>
    <col width="12.6328125" bestFit="1" customWidth="1" style="1" min="29" max="29"/>
    <col width="8.90625" customWidth="1" style="1" min="30" max="30"/>
    <col width="12.08984375" bestFit="1" customWidth="1" style="1" min="31" max="31"/>
    <col width="8.90625" customWidth="1" style="1" min="32" max="34"/>
    <col width="10.6328125" bestFit="1" customWidth="1" style="1" min="35" max="35"/>
    <col width="8.90625" customWidth="1" style="1" min="36" max="36"/>
    <col width="10.6328125" bestFit="1" customWidth="1" style="1" min="37" max="37"/>
    <col width="8.90625" customWidth="1" style="1" min="38" max="38"/>
    <col width="10.6328125" bestFit="1" customWidth="1" style="1" min="39" max="39"/>
    <col width="8.90625" customWidth="1" style="1" min="40" max="40"/>
    <col width="10.6328125" bestFit="1" customWidth="1" style="1" min="41" max="41"/>
    <col width="8.90625" customWidth="1" style="1" min="42" max="42"/>
    <col width="12.08984375" bestFit="1" customWidth="1" style="1" min="43" max="43"/>
    <col width="8.90625" customWidth="1" style="1" min="44" max="44"/>
    <col width="10.6328125" bestFit="1" customWidth="1" style="1" min="45" max="45"/>
    <col width="8.90625" customWidth="1" style="1" min="46" max="46"/>
    <col width="12.6328125" bestFit="1" customWidth="1" style="1" min="47" max="47"/>
    <col width="8.90625" customWidth="1" style="1" min="48" max="48"/>
    <col width="12.6328125" bestFit="1" customWidth="1" style="1" min="49" max="49"/>
    <col width="8.90625" customWidth="1" style="1" min="50" max="50"/>
    <col width="12.6328125" bestFit="1" customWidth="1" style="1" min="51" max="51"/>
    <col width="11.08984375" customWidth="1" style="1" min="52" max="52"/>
    <col width="12.6328125" bestFit="1" customWidth="1" style="1" min="53" max="53"/>
    <col width="11.6328125" customWidth="1" style="1" min="54" max="54"/>
    <col width="12.6328125" bestFit="1" customWidth="1" style="1" min="55" max="55"/>
    <col width="11.90625" customWidth="1" style="1" min="56" max="56"/>
    <col width="12.6328125" bestFit="1" customWidth="1" style="1" min="57" max="57"/>
    <col width="12.36328125" customWidth="1" style="1" min="58" max="58"/>
    <col width="12.6328125" bestFit="1" customWidth="1" style="1" min="59" max="59"/>
    <col width="11.08984375" customWidth="1" style="1" min="60" max="60"/>
    <col width="12.6328125" bestFit="1" customWidth="1" style="1" min="61" max="61"/>
    <col width="10" customWidth="1" style="1" min="62" max="62"/>
    <col width="12.6328125" bestFit="1" customWidth="1" style="1" min="63" max="63"/>
    <col width="10.36328125" customWidth="1" style="1" min="64" max="64"/>
    <col width="12.6328125" bestFit="1" customWidth="1" style="1" min="65" max="65"/>
    <col width="11.36328125" customWidth="1" style="1" min="66" max="66"/>
    <col width="12.6328125" bestFit="1" customWidth="1" style="1" min="67" max="67"/>
    <col width="10.6328125" customWidth="1" style="1" min="68" max="68"/>
    <col width="12.6328125" bestFit="1" customWidth="1" style="1" min="69" max="69"/>
    <col width="11"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2</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t="n"/>
      <c r="BQ2" s="97" t="n"/>
      <c r="BR2" s="350" t="n"/>
      <c r="BS2" s="96" t="n"/>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n"/>
      <c r="BQ5" s="105" t="n"/>
      <c r="BR5" s="106" t="n"/>
      <c r="BS5" s="107" t="n"/>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115"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115"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0"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40"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171">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1"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F18+Jan!F22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1"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71" t="n"/>
      <c r="BM37" s="370" t="n"/>
      <c r="BN37" s="371" t="n"/>
      <c r="BO37" s="373"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7" ht="40" customHeight="1" s="304">
      <c r="B47" s="448" t="inlineStr">
        <is>
          <t>Transactions this month
One row per posted line. These rows are not included in the totals above. Payments are not listed.</t>
        </is>
      </c>
    </row>
    <row r="48" ht="32" customHeight="1" s="304">
      <c r="B48" s="449" t="inlineStr">
        <is>
          <t>Card</t>
        </is>
      </c>
      <c r="C48" s="449" t="inlineStr">
        <is>
          <t>Trans date</t>
        </is>
      </c>
      <c r="D48" s="449" t="inlineStr">
        <is>
          <t>Post date</t>
        </is>
      </c>
      <c r="E48" s="62" t="n"/>
      <c r="F48" s="449"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62" t="n"/>
      <c r="C49" s="62" t="n"/>
      <c r="D49" s="62" t="n"/>
      <c r="E49" s="62" t="n"/>
      <c r="F49" s="62" t="n"/>
      <c r="G49" s="168" t="n"/>
    </row>
    <row r="50" ht="14" customHeight="1" s="304">
      <c r="B50" s="62" t="n"/>
      <c r="C50" s="62" t="n"/>
      <c r="D50" s="62" t="n"/>
      <c r="E50" s="62" t="n"/>
      <c r="F50" s="62" t="n"/>
      <c r="G50" s="168" t="n"/>
    </row>
    <row r="51" ht="14" customHeight="1" s="304">
      <c r="B51" s="62" t="n"/>
      <c r="C51" s="62" t="n"/>
      <c r="D51" s="62" t="n"/>
      <c r="E51" s="62" t="n"/>
      <c r="F51" s="62" t="n"/>
      <c r="G51" s="168" t="n"/>
    </row>
    <row r="52" ht="14" customHeight="1" s="304">
      <c r="B52" s="45" t="n"/>
      <c r="C52" s="47" t="n"/>
      <c r="D52" s="167" t="n"/>
      <c r="E52" s="48" t="n"/>
      <c r="F52" s="62" t="n"/>
      <c r="G52" s="168" t="n"/>
    </row>
    <row r="53" ht="14" customHeight="1" s="304">
      <c r="B53" s="45" t="n"/>
      <c r="C53" s="47" t="n"/>
      <c r="D53" s="167" t="n"/>
      <c r="E53" s="48" t="n"/>
      <c r="F53" s="62" t="n"/>
      <c r="G53" s="168" t="n"/>
    </row>
    <row r="54" ht="14" customHeight="1" s="304">
      <c r="B54" s="45" t="n"/>
      <c r="C54" s="47" t="n"/>
      <c r="D54" s="167" t="n"/>
      <c r="E54" s="48" t="n"/>
      <c r="F54" s="62" t="n"/>
      <c r="G54" s="168" t="n"/>
    </row>
    <row r="55" ht="14" customHeight="1" s="304">
      <c r="B55" s="45" t="n"/>
      <c r="C55" s="47" t="n"/>
      <c r="D55" s="167" t="n"/>
      <c r="E55" s="48" t="n"/>
      <c r="F55" s="62" t="n"/>
      <c r="G55" s="168" t="n"/>
    </row>
    <row r="56" ht="14" customHeight="1" s="304">
      <c r="B56" s="45" t="n"/>
      <c r="C56" s="47" t="n"/>
      <c r="D56" s="167" t="n"/>
      <c r="E56" s="48" t="n"/>
      <c r="F56" s="62" t="n"/>
      <c r="G56" s="168" t="n"/>
    </row>
    <row r="57" ht="14" customHeight="1" s="304">
      <c r="B57" s="62" t="n"/>
      <c r="C57" s="62" t="n"/>
      <c r="D57" s="168" t="n"/>
      <c r="E57" s="62" t="n"/>
      <c r="F57" s="62" t="n"/>
      <c r="G57" s="168" t="n"/>
    </row>
    <row r="58" ht="14" customHeight="1" s="304">
      <c r="B58" s="62" t="n"/>
      <c r="C58" s="62" t="n"/>
      <c r="D58" s="62" t="n"/>
      <c r="E58" s="62" t="n"/>
      <c r="F58" s="62" t="n"/>
      <c r="G58" s="168" t="n"/>
    </row>
    <row r="59" ht="14" customHeight="1" s="304">
      <c r="B59" s="62" t="n"/>
      <c r="C59" s="62" t="n"/>
      <c r="D59" s="62" t="n"/>
      <c r="E59" s="62" t="n"/>
      <c r="F59" s="62" t="n"/>
      <c r="G59" s="168" t="n"/>
    </row>
    <row r="60" ht="14" customHeight="1" s="304">
      <c r="B60" s="62" t="n"/>
      <c r="C60" s="62" t="n"/>
      <c r="D60" s="62" t="n"/>
      <c r="E60" s="62" t="n"/>
      <c r="F60" s="62" t="n"/>
      <c r="G60" s="168" t="n"/>
    </row>
    <row r="61" ht="14" customHeight="1" s="304">
      <c r="D61" s="409" t="n"/>
      <c r="G61" s="461" t="n"/>
    </row>
    <row r="62">
      <c r="G62" s="461" t="n"/>
    </row>
    <row r="63">
      <c r="G63" s="461" t="n"/>
    </row>
    <row r="64" ht="14" customHeight="1" s="304">
      <c r="B64" s="170" t="n"/>
      <c r="C64" s="172" t="n"/>
      <c r="G64" s="461" t="n"/>
    </row>
    <row r="65">
      <c r="G65" s="461" t="n"/>
    </row>
    <row r="66">
      <c r="G66" s="461" t="n"/>
    </row>
    <row r="67">
      <c r="G67" s="461" t="n"/>
    </row>
    <row r="68">
      <c r="G68" s="461" t="n"/>
    </row>
    <row r="69">
      <c r="G69" s="461" t="n"/>
    </row>
    <row r="70" ht="14" customHeight="1" s="304">
      <c r="B70" s="170" t="n"/>
      <c r="G70" s="461" t="n"/>
    </row>
    <row r="71">
      <c r="G71" s="461" t="n"/>
    </row>
    <row r="72">
      <c r="G72" s="461" t="n"/>
    </row>
    <row r="73">
      <c r="G73" s="461" t="n"/>
    </row>
    <row r="74">
      <c r="G74" s="461" t="n"/>
    </row>
    <row r="75">
      <c r="G75" s="461" t="n"/>
    </row>
    <row r="76">
      <c r="G76" s="461" t="n"/>
    </row>
    <row r="77">
      <c r="G77" s="461" t="n"/>
    </row>
    <row r="78">
      <c r="G78" s="461" t="n"/>
    </row>
    <row r="79">
      <c r="G79" s="461" t="n"/>
    </row>
    <row r="80">
      <c r="G80" s="461" t="n"/>
    </row>
    <row r="81">
      <c r="G81" s="461" t="n"/>
    </row>
    <row r="82">
      <c r="G82" s="461" t="n"/>
    </row>
    <row r="83">
      <c r="G83" s="461" t="n"/>
    </row>
    <row r="84">
      <c r="G84" s="461" t="n"/>
    </row>
    <row r="85">
      <c r="G85" s="461" t="n"/>
    </row>
    <row r="86">
      <c r="G86" s="461" t="n"/>
    </row>
    <row r="87">
      <c r="G87" s="461" t="n"/>
    </row>
    <row r="88">
      <c r="G88" s="461" t="n"/>
    </row>
    <row r="89">
      <c r="G89" s="461" t="n"/>
    </row>
    <row r="90">
      <c r="G90" s="461" t="n"/>
    </row>
    <row r="91">
      <c r="G91" s="461" t="n"/>
    </row>
    <row r="92">
      <c r="G92" s="461" t="n"/>
    </row>
    <row r="93">
      <c r="G93" s="461" t="n"/>
    </row>
    <row r="94">
      <c r="G94" s="461" t="n"/>
    </row>
    <row r="95">
      <c r="G95" s="461" t="n"/>
    </row>
    <row r="96">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AX4:AY4"/>
    <mergeCell ref="I30:I31"/>
    <mergeCell ref="AF3:AG3"/>
    <mergeCell ref="AD3:AE3"/>
    <mergeCell ref="F22:G23"/>
    <mergeCell ref="AH3:AI3"/>
    <mergeCell ref="I17:I19"/>
    <mergeCell ref="BH4:BI4"/>
    <mergeCell ref="AN3:AO3"/>
    <mergeCell ref="BJ4:BK4"/>
    <mergeCell ref="AP3:AQ3"/>
    <mergeCell ref="BB3:BC3"/>
    <mergeCell ref="B47:I47"/>
    <mergeCell ref="B150:I150"/>
    <mergeCell ref="AB4:AC4"/>
    <mergeCell ref="R4:S4"/>
    <mergeCell ref="T4:U4"/>
    <mergeCell ref="AT3:AU3"/>
    <mergeCell ref="BD3:BE3"/>
    <mergeCell ref="BF3:BG3"/>
    <mergeCell ref="L3:M3"/>
    <mergeCell ref="N3:O3"/>
    <mergeCell ref="BP4:BQ4"/>
    <mergeCell ref="AH4:AI4"/>
    <mergeCell ref="AN4:AO4"/>
    <mergeCell ref="BH3:BI3"/>
    <mergeCell ref="BN3:BO3"/>
    <mergeCell ref="BP3:BQ3"/>
    <mergeCell ref="AV3:AW3"/>
    <mergeCell ref="BR3:BS3"/>
    <mergeCell ref="AP4:AQ4"/>
    <mergeCell ref="AB3:AC3"/>
    <mergeCell ref="AR4:AS4"/>
    <mergeCell ref="X3:Y3"/>
    <mergeCell ref="I22:I27"/>
    <mergeCell ref="AT4:AU4"/>
    <mergeCell ref="AZ4:BA4"/>
    <mergeCell ref="Z3:AA3"/>
    <mergeCell ref="AV4:AW4"/>
    <mergeCell ref="BB4:BC4"/>
    <mergeCell ref="J4:K4"/>
    <mergeCell ref="BD4:BE4"/>
    <mergeCell ref="L4:M4"/>
    <mergeCell ref="AJ3:AK3"/>
    <mergeCell ref="AL3:AM3"/>
    <mergeCell ref="BL4:BM4"/>
    <mergeCell ref="BF4:BG4"/>
    <mergeCell ref="BN4:BO4"/>
    <mergeCell ref="AF4:AG4"/>
    <mergeCell ref="F26:G39"/>
    <mergeCell ref="R3:S3"/>
    <mergeCell ref="I6:I16"/>
    <mergeCell ref="P4:Q4"/>
    <mergeCell ref="X4:Y4"/>
    <mergeCell ref="J3:K3"/>
    <mergeCell ref="BR4:BS4"/>
    <mergeCell ref="Z4:AA4"/>
    <mergeCell ref="AJ4:AK4"/>
    <mergeCell ref="BJ3:BK3"/>
    <mergeCell ref="AL4:AM4"/>
    <mergeCell ref="BL3:BM3"/>
    <mergeCell ref="AX3:AY3"/>
    <mergeCell ref="AZ3:BA3"/>
    <mergeCell ref="P3:Q3"/>
    <mergeCell ref="F18:G19"/>
    <mergeCell ref="AR3:AS3"/>
    <mergeCell ref="V4:W4"/>
    <mergeCell ref="T3:U3"/>
    <mergeCell ref="AD4:AE4"/>
    <mergeCell ref="V3:W3"/>
    <mergeCell ref="N4:O4"/>
  </mergeCells>
  <conditionalFormatting sqref="A1:H2 A3:I4 A5:A44 A45:XFD45 A46:A61 A62:XFD63 A64 A65:XFD74 A75:A78 A79:XFD65508 B5:H5 B6:G7 B12:E17 B35:E44 B76:C78 D11:E11 D61:XFD61 D64:XFD64 D75:XFD78 E18:E21 E23:E24 E25:F26 E27:E34 F11:G14 F17:G17 F18 F20:G21 F40:G44 H6:H44 H47:XFD60 I2 I5:I6 I9 I42:I44 J5:BS16 BT1:IV44">
    <cfRule type="cellIs" priority="624" operator="equal" dxfId="0" stopIfTrue="1">
      <formula>"Sun"</formula>
    </cfRule>
  </conditionalFormatting>
  <conditionalFormatting sqref="A1:H2 A3:I4 A5:A44 A45:XFD45 A46:A61 A62:XFD63 A64 A65:XFD74 A75:A78 A79:XFD65508 B5:H5 B35:E44 B76:C78 D61:XFD61 D64:XFD64 D75:XFD78 E18:E21 E23:E24 E25:F26 E27:E34 F11:G14 F17:G17 F18 F20:G21 F40:G44 H6:H44 H47:XFD60 I2 I5:I6 I9 J5:BS16 BT1:IV44">
    <cfRule type="cellIs" priority="623" operator="equal" dxfId="5" stopIfTrue="1">
      <formula>"Sat"</formula>
    </cfRule>
  </conditionalFormatting>
  <conditionalFormatting sqref="B8:B10">
    <cfRule type="cellIs" priority="510" operator="equal" dxfId="0" stopIfTrue="1">
      <formula>"Sun"</formula>
    </cfRule>
  </conditionalFormatting>
  <conditionalFormatting sqref="B11">
    <cfRule type="cellIs" priority="512" operator="equal" dxfId="0" stopIfTrue="1">
      <formula>"Sun"</formula>
    </cfRule>
  </conditionalFormatting>
  <conditionalFormatting sqref="B18:B34">
    <cfRule type="cellIs" priority="375" operator="equal" dxfId="5" stopIfTrue="1">
      <formula>"Sat"</formula>
    </cfRule>
    <cfRule type="cellIs" priority="376" operator="equal" dxfId="0" stopIfTrue="1">
      <formula>"Sun"</formula>
    </cfRule>
  </conditionalFormatting>
  <conditionalFormatting sqref="B11:E17">
    <cfRule type="cellIs" priority="511" operator="equal" dxfId="5" stopIfTrue="1">
      <formula>"Sat"</formula>
    </cfRule>
  </conditionalFormatting>
  <conditionalFormatting sqref="B6:G10">
    <cfRule type="cellIs" priority="509" operator="equal" dxfId="5" stopIfTrue="1">
      <formula>"Sat"</formula>
    </cfRule>
  </conditionalFormatting>
  <conditionalFormatting sqref="B46:XFD46">
    <cfRule type="cellIs" priority="450" operator="equal" dxfId="0" stopIfTrue="1">
      <formula>"Sun"</formula>
    </cfRule>
    <cfRule type="cellIs" priority="449" operator="equal" dxfId="5" stopIfTrue="1">
      <formula>"Sat"</formula>
    </cfRule>
  </conditionalFormatting>
  <conditionalFormatting sqref="C8:C11">
    <cfRule type="cellIs" priority="592" operator="equal" dxfId="0" stopIfTrue="1">
      <formula>"Sun"</formula>
    </cfRule>
  </conditionalFormatting>
  <conditionalFormatting sqref="C26:C27">
    <cfRule type="cellIs" priority="13" operator="equal" dxfId="5" stopIfTrue="1">
      <formula>"Sat"</formula>
    </cfRule>
    <cfRule type="cellIs" priority="14" operator="equal" dxfId="0" stopIfTrue="1">
      <formula>"Sun"</formula>
    </cfRule>
  </conditionalFormatting>
  <conditionalFormatting sqref="C29:C30">
    <cfRule type="cellIs" priority="11" operator="equal" dxfId="5" stopIfTrue="1">
      <formula>"Sat"</formula>
    </cfRule>
    <cfRule type="cellIs" priority="12" operator="equal" dxfId="0" stopIfTrue="1">
      <formula>"Sun"</formula>
    </cfRule>
  </conditionalFormatting>
  <conditionalFormatting sqref="C18:D19">
    <cfRule type="cellIs" priority="19" operator="equal" dxfId="5" stopIfTrue="1">
      <formula>"Sat"</formula>
    </cfRule>
    <cfRule type="cellIs" priority="20" operator="equal" dxfId="0" stopIfTrue="1">
      <formula>"Sun"</formula>
    </cfRule>
  </conditionalFormatting>
  <conditionalFormatting sqref="C21:D21">
    <cfRule type="cellIs" priority="2" operator="equal" dxfId="0" stopIfTrue="1">
      <formula>"Sun"</formula>
    </cfRule>
    <cfRule type="cellIs" priority="1" operator="equal" dxfId="5" stopIfTrue="1">
      <formula>"Sat"</formula>
    </cfRule>
  </conditionalFormatting>
  <conditionalFormatting sqref="C24:D24">
    <cfRule type="cellIs" priority="16" operator="equal" dxfId="0" stopIfTrue="1">
      <formula>"Sun"</formula>
    </cfRule>
    <cfRule type="cellIs" priority="15" operator="equal" dxfId="5" stopIfTrue="1">
      <formula>"Sat"</formula>
    </cfRule>
  </conditionalFormatting>
  <conditionalFormatting sqref="C31:D34">
    <cfRule type="cellIs" priority="38" operator="equal" dxfId="0" stopIfTrue="1">
      <formula>"Sun"</formula>
    </cfRule>
    <cfRule type="cellIs" priority="37" operator="equal" dxfId="5" stopIfTrue="1">
      <formula>"Sat"</formula>
    </cfRule>
  </conditionalFormatting>
  <conditionalFormatting sqref="C22:F22">
    <cfRule type="cellIs" priority="26" operator="equal" dxfId="0" stopIfTrue="1">
      <formula>"Sun"</formula>
    </cfRule>
    <cfRule type="cellIs" priority="25" operator="equal" dxfId="5" stopIfTrue="1">
      <formula>"Sat"</formula>
    </cfRule>
  </conditionalFormatting>
  <conditionalFormatting sqref="D26:D28">
    <cfRule type="cellIs" priority="36" operator="equal" dxfId="0" stopIfTrue="1">
      <formula>"Sun"</formula>
    </cfRule>
    <cfRule type="cellIs" priority="35" operator="equal" dxfId="5" stopIfTrue="1">
      <formula>"Sat"</formula>
    </cfRule>
  </conditionalFormatting>
  <conditionalFormatting sqref="D8:G10">
    <cfRule type="cellIs" priority="602" operator="equal" dxfId="0" stopIfTrue="1">
      <formula>"Sun"</formula>
    </cfRule>
  </conditionalFormatting>
  <conditionalFormatting sqref="I20:I37">
    <cfRule type="cellIs" priority="561" operator="equal" dxfId="5" stopIfTrue="1">
      <formula>"Sat"</formula>
    </cfRule>
    <cfRule type="cellIs" priority="562" operator="equal" dxfId="0" stopIfTrue="1">
      <formula>"Sun"</formula>
    </cfRule>
  </conditionalFormatting>
  <conditionalFormatting sqref="I17:BS17">
    <cfRule type="cellIs" priority="126" operator="equal" dxfId="0" stopIfTrue="1">
      <formula>"Sun"</formula>
    </cfRule>
    <cfRule type="cellIs" priority="125" operator="equal" dxfId="5" stopIfTrue="1">
      <formula>"Sat"</formula>
    </cfRule>
  </conditionalFormatting>
  <conditionalFormatting sqref="I42:BS44">
    <cfRule type="cellIs" priority="139" operator="equal" dxfId="5" stopIfTrue="1">
      <formula>"Sat"</formula>
    </cfRule>
  </conditionalFormatting>
  <conditionalFormatting sqref="J18:BS38">
    <cfRule type="cellIs" priority="4" operator="equal" dxfId="0" stopIfTrue="1">
      <formula>"Sun"</formula>
    </cfRule>
  </conditionalFormatting>
  <conditionalFormatting sqref="J18:BS41">
    <cfRule type="cellIs" priority="3" operator="equal" dxfId="5" stopIfTrue="1">
      <formula>"Sat"</formula>
    </cfRule>
  </conditionalFormatting>
  <conditionalFormatting sqref="J39:BS44">
    <cfRule type="cellIs" priority="140"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4.xml><?xml version="1.0" encoding="utf-8"?>
<worksheet xmlns="http://schemas.openxmlformats.org/spreadsheetml/2006/main">
  <sheetPr>
    <tabColor indexed="53"/>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J32" sqref="J32"/>
    </sheetView>
  </sheetViews>
  <sheetFormatPr baseColWidth="8" defaultColWidth="8.90625" defaultRowHeight="13.5"/>
  <cols>
    <col width="5" customWidth="1" style="54" min="1" max="1"/>
    <col width="27" customWidth="1" style="1" min="2" max="2"/>
    <col width="12.7265625" bestFit="1" customWidth="1" style="1" min="3" max="3"/>
    <col width="14" bestFit="1" customWidth="1" style="1" min="4" max="4"/>
    <col width="1.6328125" customWidth="1" style="1" min="5" max="5"/>
    <col width="29" customWidth="1" style="1" min="6" max="6"/>
    <col width="10.08984375" bestFit="1" customWidth="1" style="1" min="7" max="7"/>
    <col width="1.6328125" bestFit="1" customWidth="1" style="1" min="8" max="8"/>
    <col width="25" customWidth="1" style="1" min="9" max="9"/>
    <col width="10.08984375" customWidth="1" style="1" min="10" max="10"/>
    <col width="13.08984375" bestFit="1" customWidth="1" style="1" min="11" max="11"/>
    <col width="10.08984375" customWidth="1" style="1" min="12" max="12"/>
    <col width="12" bestFit="1"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5.08984375" bestFit="1" customWidth="1" style="1" min="24" max="24"/>
    <col width="12.6328125" bestFit="1" customWidth="1" style="1" min="25" max="25"/>
    <col width="11.08984375" customWidth="1" style="1" min="26" max="26"/>
    <col width="10.6328125" bestFit="1" customWidth="1" style="1" min="27" max="27"/>
    <col width="9.36328125" customWidth="1" style="1" min="28" max="28"/>
    <col width="12.6328125" bestFit="1" customWidth="1" style="1" min="29" max="29"/>
    <col width="8.90625" customWidth="1" style="1" min="30" max="34"/>
    <col width="10.6328125" bestFit="1" customWidth="1" style="1" min="35" max="35"/>
    <col width="8.90625" customWidth="1" style="1" min="36" max="36"/>
    <col width="11.6328125" bestFit="1" customWidth="1" style="1" min="37" max="37"/>
    <col width="9.7265625" bestFit="1" customWidth="1" style="1" min="38" max="38"/>
    <col width="10.6328125" bestFit="1" customWidth="1" style="1" min="39" max="39"/>
    <col width="8.90625" customWidth="1" style="1" min="40" max="40"/>
    <col width="10.6328125" bestFit="1" customWidth="1" style="1" min="41" max="41"/>
    <col width="8.90625" customWidth="1" style="1" min="42" max="42"/>
    <col width="10.6328125" bestFit="1" customWidth="1" style="1" min="43" max="43"/>
    <col width="8.90625" customWidth="1" style="1" min="44" max="44"/>
    <col width="11" bestFit="1" customWidth="1" style="1" min="45" max="45"/>
    <col width="8.90625" customWidth="1" style="1" min="46" max="46"/>
    <col width="12.6328125" bestFit="1" customWidth="1" style="1" min="47" max="47"/>
    <col width="8.90625" customWidth="1" style="1" min="48" max="48"/>
    <col width="12.6328125" bestFit="1" customWidth="1" style="1" min="49" max="49"/>
    <col width="8.90625" customWidth="1" style="1" min="50" max="50"/>
    <col width="12.6328125" bestFit="1" customWidth="1" style="1" min="51" max="51"/>
    <col width="11.08984375" customWidth="1" style="1" min="52" max="52"/>
    <col width="12.6328125" bestFit="1" customWidth="1" style="1" min="53" max="53"/>
    <col width="11.6328125" customWidth="1" style="1" min="54" max="54"/>
    <col width="12.6328125" bestFit="1" customWidth="1" style="1" min="55" max="55"/>
    <col width="11.90625" customWidth="1" style="1" min="56" max="56"/>
    <col width="12.6328125" bestFit="1" customWidth="1" style="1" min="57" max="57"/>
    <col width="12.36328125" customWidth="1" style="1" min="58" max="58"/>
    <col width="12.6328125" bestFit="1" customWidth="1" style="1" min="59" max="59"/>
    <col width="11.08984375" customWidth="1" style="1" min="60" max="60"/>
    <col width="12.6328125" bestFit="1" customWidth="1" style="1" min="61" max="61"/>
    <col width="10" customWidth="1" style="1" min="62" max="62"/>
    <col width="12.6328125" bestFit="1" customWidth="1" style="1" min="63" max="63"/>
    <col width="10.36328125" customWidth="1" style="1" min="64" max="64"/>
    <col width="12.6328125" bestFit="1" customWidth="1" style="1" min="65" max="65"/>
    <col width="11.36328125" customWidth="1" style="1" min="66" max="66"/>
    <col width="12.6328125" bestFit="1" customWidth="1" style="1" min="67" max="67"/>
    <col width="10.6328125" customWidth="1" style="1" min="68" max="68"/>
    <col width="12.6328125" bestFit="1" customWidth="1" style="1" min="69" max="69"/>
    <col width="11"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3</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f>IF(BP2="","",IF(BP2&gt;=$C$1,"",BP2+1))</f>
        <v/>
      </c>
      <c r="BS2" s="96">
        <f>IF(BR2="","",TEXT(BR2,"ddd"))</f>
        <v/>
      </c>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9.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inlineStr">
        <is>
          <t>Item</t>
        </is>
      </c>
      <c r="BS5" s="107" t="inlineStr">
        <is>
          <t>Amount</t>
        </is>
      </c>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A8" s="173" t="n"/>
      <c r="B8" s="355" t="n"/>
      <c r="C8" s="115"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A9" s="173" t="n"/>
      <c r="B9" s="355" t="n"/>
      <c r="C9" s="174"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A10" s="173" t="n"/>
      <c r="B10" s="361" t="n"/>
      <c r="C10" s="40"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A11" s="173" t="n"/>
      <c r="B11" s="362" t="n"/>
      <c r="C11" s="410"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A12" s="173" t="n"/>
      <c r="B12" s="365" t="inlineStr">
        <is>
          <t>Total Income</t>
        </is>
      </c>
      <c r="C12" s="171">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A13" s="173" t="n"/>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A14" s="173" t="n"/>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A15" s="173" t="n"/>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A16" s="173" t="n"/>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A17" s="173" t="n"/>
      <c r="B17" s="133" t="inlineStr">
        <is>
          <t>Item</t>
        </is>
      </c>
      <c r="C17" s="134" t="inlineStr">
        <is>
          <t>Amount</t>
        </is>
      </c>
      <c r="D17" s="135" t="inlineStr">
        <is>
          <t>Date Paid</t>
        </is>
      </c>
      <c r="F17" s="132" t="inlineStr">
        <is>
          <t>Balance This Month</t>
        </is>
      </c>
      <c r="I17" s="324" t="inlineStr">
        <is>
          <t>Snacks &amp; Groceries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A18" s="173" t="n"/>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A19" s="173" t="n"/>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A20" s="173" t="n"/>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A21" s="173" t="n"/>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A22" s="173" t="n"/>
      <c r="B22" s="138" t="inlineStr">
        <is>
          <t>Mobile Phone</t>
        </is>
      </c>
      <c r="C22" s="370" t="n"/>
      <c r="D22" s="139" t="n"/>
      <c r="F22" s="320">
        <f>F18+Feb!F22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A23" s="173" t="n"/>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71"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A24" s="173" t="n"/>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A25" s="173" t="n"/>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A26" s="173" t="n"/>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A27" s="173" t="n"/>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A28" s="173" t="n"/>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A29" s="173" t="n"/>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A30" s="173" t="n"/>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A31" s="173" t="n"/>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8" customFormat="1" customHeight="1" s="4">
      <c r="A32" s="173" t="n"/>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1"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A33" s="173" t="n"/>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A34" s="173" t="n"/>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A35" s="173" t="n"/>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A36" s="173" t="n"/>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A37" s="173" t="n"/>
      <c r="B37" s="153" t="n"/>
      <c r="C37" s="158" t="n"/>
      <c r="D37" s="149" t="n"/>
      <c r="F37" s="328" t="n"/>
      <c r="G37" s="329" t="n"/>
      <c r="I37" s="141" t="inlineStr">
        <is>
          <t>Other</t>
        </is>
      </c>
      <c r="J37" s="369"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A38" s="173" t="n"/>
      <c r="B38" s="153" t="n"/>
      <c r="C38" s="158" t="n"/>
      <c r="D38" s="149" t="n"/>
      <c r="F38" s="328" t="n"/>
      <c r="G38" s="329" t="n"/>
      <c r="I38" s="141" t="n"/>
      <c r="J38" s="369" t="n"/>
      <c r="K38" s="370" t="n"/>
      <c r="L38" s="371" t="n"/>
      <c r="M38" s="370" t="n"/>
      <c r="N38" s="371" t="n"/>
      <c r="O38" s="370" t="n"/>
      <c r="P38" s="370"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A39" s="173" t="n"/>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A40" s="173" t="n"/>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A41" s="173" t="n"/>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A42" s="173" t="n"/>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A43" s="173" t="n"/>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A44" s="173" t="n"/>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B45" s="176" t="n"/>
      <c r="C45" s="176" t="n"/>
      <c r="D45" s="176" t="n"/>
      <c r="E45" s="176" t="n"/>
      <c r="F45" s="176" t="n"/>
    </row>
    <row r="46" ht="14" customHeight="1" s="304">
      <c r="B46" s="176" t="n"/>
      <c r="C46" s="176" t="n"/>
      <c r="D46" s="176" t="n"/>
      <c r="E46" s="176" t="n"/>
      <c r="F46" s="176" t="n"/>
    </row>
    <row r="47" ht="40" customHeight="1" s="304">
      <c r="B47" s="448" t="inlineStr">
        <is>
          <t>Transactions this month
One row per posted line. These rows are not included in the totals above. Payments are not listed.</t>
        </is>
      </c>
    </row>
    <row r="48" ht="32" customHeight="1" s="304">
      <c r="B48" s="449" t="inlineStr">
        <is>
          <t>Card</t>
        </is>
      </c>
      <c r="C48" s="449" t="inlineStr">
        <is>
          <t>Trans date</t>
        </is>
      </c>
      <c r="D48" s="449" t="inlineStr">
        <is>
          <t>Post date</t>
        </is>
      </c>
      <c r="E48" s="62" t="n"/>
      <c r="F48" s="449"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62" t="n"/>
      <c r="C49" s="62" t="n"/>
      <c r="D49" s="62" t="n"/>
      <c r="E49" s="62" t="n"/>
      <c r="F49" s="62" t="n"/>
      <c r="G49" s="461" t="n"/>
      <c r="M49" s="166" t="n"/>
    </row>
    <row r="50" ht="14" customHeight="1" s="304">
      <c r="B50" s="62" t="n"/>
      <c r="C50" s="62" t="n"/>
      <c r="D50" s="62" t="n"/>
      <c r="E50" s="62" t="n"/>
      <c r="F50" s="62" t="n"/>
      <c r="G50" s="461" t="n"/>
    </row>
    <row r="51" ht="14" customHeight="1" s="304">
      <c r="B51" s="45" t="n"/>
      <c r="C51" s="47" t="n"/>
      <c r="D51" s="167" t="n"/>
      <c r="E51" s="62" t="n"/>
      <c r="F51" s="62" t="n"/>
      <c r="G51" s="461" t="n"/>
    </row>
    <row r="52" ht="14" customHeight="1" s="304">
      <c r="B52" s="45" t="n"/>
      <c r="C52" s="47" t="n"/>
      <c r="D52" s="167" t="n"/>
      <c r="E52" s="48" t="n"/>
      <c r="F52" s="62" t="n"/>
      <c r="G52" s="461" t="n"/>
    </row>
    <row r="53" ht="14" customHeight="1" s="304">
      <c r="B53" s="45" t="n"/>
      <c r="C53" s="47" t="n"/>
      <c r="D53" s="167" t="n"/>
      <c r="E53" s="48" t="n"/>
      <c r="F53" s="62" t="n"/>
      <c r="G53" s="461" t="n"/>
    </row>
    <row r="54" ht="14" customHeight="1" s="304">
      <c r="B54" s="45" t="n"/>
      <c r="C54" s="47" t="n"/>
      <c r="D54" s="167" t="n"/>
      <c r="E54" s="48" t="n"/>
      <c r="F54" s="62" t="n"/>
      <c r="G54" s="461" t="n"/>
    </row>
    <row r="55" ht="14" customHeight="1" s="304">
      <c r="B55" s="45" t="n"/>
      <c r="C55" s="47" t="n"/>
      <c r="D55" s="167" t="n"/>
      <c r="E55" s="48" t="n"/>
      <c r="F55" s="62" t="n"/>
      <c r="G55" s="461" t="n"/>
    </row>
    <row r="56" ht="14" customHeight="1" s="304">
      <c r="B56" s="45" t="n"/>
      <c r="C56" s="47" t="n"/>
      <c r="D56" s="167" t="n"/>
      <c r="E56" s="48" t="n"/>
      <c r="F56" s="62" t="n"/>
      <c r="G56" s="461" t="n"/>
    </row>
    <row r="57" ht="14" customHeight="1" s="304">
      <c r="B57" s="62" t="n"/>
      <c r="C57" s="62" t="n"/>
      <c r="D57" s="168" t="n"/>
      <c r="E57" s="62" t="n"/>
      <c r="F57" s="62" t="n"/>
      <c r="G57" s="461" t="n"/>
    </row>
    <row r="58" ht="14" customHeight="1" s="304">
      <c r="B58" s="62" t="n"/>
      <c r="C58" s="62" t="n"/>
      <c r="D58" s="62" t="n"/>
      <c r="E58" s="62" t="n"/>
      <c r="F58" s="62" t="n"/>
      <c r="G58" s="461" t="n"/>
    </row>
    <row r="59" ht="14" customHeight="1" s="304">
      <c r="B59" s="62" t="n"/>
      <c r="C59" s="62" t="n"/>
      <c r="D59" s="62" t="n"/>
      <c r="E59" s="62" t="n"/>
      <c r="F59" s="62" t="n"/>
      <c r="G59" s="461" t="n"/>
    </row>
    <row r="60" ht="14" customHeight="1" s="304">
      <c r="B60" s="62" t="n"/>
      <c r="C60" s="62" t="n"/>
      <c r="D60" s="62" t="n"/>
      <c r="E60" s="62" t="n"/>
      <c r="F60" s="62" t="n"/>
      <c r="G60" s="461" t="n"/>
    </row>
    <row r="61">
      <c r="G61" s="461" t="n"/>
    </row>
    <row r="62">
      <c r="G62" s="461" t="n"/>
    </row>
    <row r="63">
      <c r="G63" s="461" t="n"/>
    </row>
    <row r="64">
      <c r="G64" s="461" t="n"/>
    </row>
    <row r="65">
      <c r="G65" s="461" t="n"/>
    </row>
    <row r="66">
      <c r="G66" s="461" t="n"/>
    </row>
    <row r="67">
      <c r="G67" s="461" t="n"/>
    </row>
    <row r="68">
      <c r="G68" s="461" t="n"/>
    </row>
    <row r="69">
      <c r="G69" s="461" t="n"/>
    </row>
    <row r="70">
      <c r="G70" s="461" t="n"/>
    </row>
    <row r="71">
      <c r="G71" s="461" t="n"/>
    </row>
    <row r="72">
      <c r="G72" s="461" t="n"/>
    </row>
    <row r="73">
      <c r="G73" s="461" t="n"/>
    </row>
    <row r="74">
      <c r="G74" s="461" t="n"/>
    </row>
    <row r="75">
      <c r="G75" s="461" t="n"/>
    </row>
    <row r="76">
      <c r="G76" s="461" t="n"/>
    </row>
    <row r="77">
      <c r="G77" s="461" t="n"/>
    </row>
    <row r="78">
      <c r="G78" s="461" t="n"/>
    </row>
    <row r="79">
      <c r="G79" s="461" t="n"/>
    </row>
    <row r="80">
      <c r="G80" s="461" t="n"/>
    </row>
    <row r="81">
      <c r="G81" s="461" t="n"/>
    </row>
    <row r="82">
      <c r="G82" s="461" t="n"/>
    </row>
    <row r="83">
      <c r="G83" s="461" t="n"/>
    </row>
    <row r="84">
      <c r="G84" s="461" t="n"/>
    </row>
    <row r="85">
      <c r="G85" s="461" t="n"/>
    </row>
    <row r="86">
      <c r="G86" s="461" t="n"/>
    </row>
    <row r="87">
      <c r="G87" s="461" t="n"/>
    </row>
    <row r="88">
      <c r="G88" s="461" t="n"/>
    </row>
    <row r="89">
      <c r="G89" s="461" t="n"/>
    </row>
    <row r="90">
      <c r="G90" s="461" t="n"/>
    </row>
    <row r="91">
      <c r="G91" s="461" t="n"/>
    </row>
    <row r="92">
      <c r="G92" s="461" t="n"/>
    </row>
    <row r="93">
      <c r="G93" s="461" t="n"/>
    </row>
    <row r="94">
      <c r="G94" s="461" t="n"/>
    </row>
    <row r="95">
      <c r="G95" s="461" t="n"/>
    </row>
    <row r="96">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I30:I31"/>
    <mergeCell ref="AF3:AG3"/>
    <mergeCell ref="AD3:AE3"/>
    <mergeCell ref="AX4:AY4"/>
    <mergeCell ref="F22:G23"/>
    <mergeCell ref="BH4:BI4"/>
    <mergeCell ref="AN3:AO3"/>
    <mergeCell ref="AH3:AI3"/>
    <mergeCell ref="BJ4:BK4"/>
    <mergeCell ref="AP3:AQ3"/>
    <mergeCell ref="BB3:BC3"/>
    <mergeCell ref="I17:I19"/>
    <mergeCell ref="B47:I47"/>
    <mergeCell ref="B150:I150"/>
    <mergeCell ref="R4:S4"/>
    <mergeCell ref="AB4:AC4"/>
    <mergeCell ref="T4:U4"/>
    <mergeCell ref="AT3:AU3"/>
    <mergeCell ref="L3:M3"/>
    <mergeCell ref="BF3:BG3"/>
    <mergeCell ref="BD3:BE3"/>
    <mergeCell ref="BP4:BQ4"/>
    <mergeCell ref="AN4:AO4"/>
    <mergeCell ref="AH4:AI4"/>
    <mergeCell ref="BH3:BI3"/>
    <mergeCell ref="BN3:BO3"/>
    <mergeCell ref="AV3:AW3"/>
    <mergeCell ref="BP3:BQ3"/>
    <mergeCell ref="BR3:BS3"/>
    <mergeCell ref="N3:O3"/>
    <mergeCell ref="AB3:AC3"/>
    <mergeCell ref="X3:Y3"/>
    <mergeCell ref="AR4:AS4"/>
    <mergeCell ref="I22:I27"/>
    <mergeCell ref="AT4:AU4"/>
    <mergeCell ref="AZ4:BA4"/>
    <mergeCell ref="Z3:AA3"/>
    <mergeCell ref="AV4:AW4"/>
    <mergeCell ref="BB4:BC4"/>
    <mergeCell ref="J4:K4"/>
    <mergeCell ref="BD4:BE4"/>
    <mergeCell ref="AJ3:AK3"/>
    <mergeCell ref="L4:M4"/>
    <mergeCell ref="AL3:AM3"/>
    <mergeCell ref="BL4:BM4"/>
    <mergeCell ref="BF4:BG4"/>
    <mergeCell ref="BN4:BO4"/>
    <mergeCell ref="AF4:AG4"/>
    <mergeCell ref="F26:G39"/>
    <mergeCell ref="R3:S3"/>
    <mergeCell ref="I6:I16"/>
    <mergeCell ref="X4:Y4"/>
    <mergeCell ref="J3:K3"/>
    <mergeCell ref="BR4:BS4"/>
    <mergeCell ref="AJ4:AK4"/>
    <mergeCell ref="BJ3:BK3"/>
    <mergeCell ref="AL4:AM4"/>
    <mergeCell ref="Z4:AA4"/>
    <mergeCell ref="BL3:BM3"/>
    <mergeCell ref="AZ3:BA3"/>
    <mergeCell ref="AX3:AY3"/>
    <mergeCell ref="P3:Q3"/>
    <mergeCell ref="F18:G19"/>
    <mergeCell ref="AP4:AQ4"/>
    <mergeCell ref="AR3:AS3"/>
    <mergeCell ref="V4:W4"/>
    <mergeCell ref="T3:U3"/>
    <mergeCell ref="AD4:AE4"/>
    <mergeCell ref="V3:W3"/>
    <mergeCell ref="N4:O4"/>
  </mergeCells>
  <conditionalFormatting sqref="A5:A60 A61:XFD65423">
    <cfRule type="cellIs" priority="652" operator="equal" dxfId="0" stopIfTrue="1">
      <formula>"Sun"</formula>
    </cfRule>
    <cfRule type="cellIs" priority="651" operator="equal" dxfId="5" stopIfTrue="1">
      <formula>"Sat"</formula>
    </cfRule>
  </conditionalFormatting>
  <conditionalFormatting sqref="A1:H2 A3:I4 B5:H5 B35:E44 E18:E21 E23:E24 E25:F26 E27:E34 F6:G14 F17:G17 F18 F20:G21 F40:G44 H6:H44 I2 I5:I6 I9 I42:I44 J5:BS16 BT1:IV44">
    <cfRule type="cellIs" priority="656" operator="equal" dxfId="0" stopIfTrue="1">
      <formula>"Sun"</formula>
    </cfRule>
  </conditionalFormatting>
  <conditionalFormatting sqref="A1:H2 A3:I4 B5:H5 B35:E44 E18:E21 E23:E24 E25:F26 E27:E34 F6:G14 F17:G17 F18 F20:G21 F40:G44 H6:H44 I2 I5:I6 I9 J5:BS16 BT1:IV44">
    <cfRule type="cellIs" priority="655" operator="equal" dxfId="5" stopIfTrue="1">
      <formula>"Sat"</formula>
    </cfRule>
  </conditionalFormatting>
  <conditionalFormatting sqref="B18:B34">
    <cfRule type="cellIs" priority="410" operator="equal" dxfId="0" stopIfTrue="1">
      <formula>"Sun"</formula>
    </cfRule>
    <cfRule type="cellIs" priority="409" operator="equal" dxfId="5" stopIfTrue="1">
      <formula>"Sat"</formula>
    </cfRule>
  </conditionalFormatting>
  <conditionalFormatting sqref="B6:E17">
    <cfRule type="cellIs" priority="534" operator="equal" dxfId="0" stopIfTrue="1">
      <formula>"Sun"</formula>
    </cfRule>
    <cfRule type="cellIs" priority="533" operator="equal" dxfId="5" stopIfTrue="1">
      <formula>"Sat"</formula>
    </cfRule>
  </conditionalFormatting>
  <conditionalFormatting sqref="B45:F46">
    <cfRule type="cellIs" priority="474" operator="equal" dxfId="0" stopIfTrue="1">
      <formula>"Sun"</formula>
    </cfRule>
    <cfRule type="cellIs" priority="473" operator="equal" dxfId="5" stopIfTrue="1">
      <formula>"Sat"</formula>
    </cfRule>
  </conditionalFormatting>
  <conditionalFormatting sqref="C26:C27">
    <cfRule type="cellIs" priority="15" operator="equal" dxfId="5" stopIfTrue="1">
      <formula>"Sat"</formula>
    </cfRule>
    <cfRule type="cellIs" priority="16" operator="equal" dxfId="0" stopIfTrue="1">
      <formula>"Sun"</formula>
    </cfRule>
  </conditionalFormatting>
  <conditionalFormatting sqref="C29:C30">
    <cfRule type="cellIs" priority="13" operator="equal" dxfId="5" stopIfTrue="1">
      <formula>"Sat"</formula>
    </cfRule>
    <cfRule type="cellIs" priority="14" operator="equal" dxfId="0" stopIfTrue="1">
      <formula>"Sun"</formula>
    </cfRule>
  </conditionalFormatting>
  <conditionalFormatting sqref="C18:D19">
    <cfRule type="cellIs" priority="27" operator="equal" dxfId="5" stopIfTrue="1">
      <formula>"Sat"</formula>
    </cfRule>
    <cfRule type="cellIs" priority="28" operator="equal" dxfId="0" stopIfTrue="1">
      <formula>"Sun"</formula>
    </cfRule>
  </conditionalFormatting>
  <conditionalFormatting sqref="C21:D21">
    <cfRule type="cellIs" priority="1" operator="equal" dxfId="5" stopIfTrue="1">
      <formula>"Sat"</formula>
    </cfRule>
    <cfRule type="cellIs" priority="2" operator="equal" dxfId="0" stopIfTrue="1">
      <formula>"Sun"</formula>
    </cfRule>
  </conditionalFormatting>
  <conditionalFormatting sqref="C24:D24">
    <cfRule type="cellIs" priority="18" operator="equal" dxfId="0" stopIfTrue="1">
      <formula>"Sun"</formula>
    </cfRule>
    <cfRule type="cellIs" priority="17" operator="equal" dxfId="5" stopIfTrue="1">
      <formula>"Sat"</formula>
    </cfRule>
  </conditionalFormatting>
  <conditionalFormatting sqref="C31:D34">
    <cfRule type="cellIs" priority="43" operator="equal" dxfId="5" stopIfTrue="1">
      <formula>"Sat"</formula>
    </cfRule>
    <cfRule type="cellIs" priority="44" operator="equal" dxfId="0" stopIfTrue="1">
      <formula>"Sun"</formula>
    </cfRule>
  </conditionalFormatting>
  <conditionalFormatting sqref="C22:F22">
    <cfRule type="cellIs" priority="32" operator="equal" dxfId="0" stopIfTrue="1">
      <formula>"Sun"</formula>
    </cfRule>
    <cfRule type="cellIs" priority="31" operator="equal" dxfId="5" stopIfTrue="1">
      <formula>"Sat"</formula>
    </cfRule>
  </conditionalFormatting>
  <conditionalFormatting sqref="D26:D28">
    <cfRule type="cellIs" priority="42" operator="equal" dxfId="0" stopIfTrue="1">
      <formula>"Sun"</formula>
    </cfRule>
    <cfRule type="cellIs" priority="41" operator="equal" dxfId="5" stopIfTrue="1">
      <formula>"Sat"</formula>
    </cfRule>
  </conditionalFormatting>
  <conditionalFormatting sqref="G45:XFD60">
    <cfRule type="cellIs" priority="193" operator="equal" dxfId="5" stopIfTrue="1">
      <formula>"Sat"</formula>
    </cfRule>
    <cfRule type="cellIs" priority="194" operator="equal" dxfId="0" stopIfTrue="1">
      <formula>"Sun"</formula>
    </cfRule>
  </conditionalFormatting>
  <conditionalFormatting sqref="I20:I37">
    <cfRule type="cellIs" priority="593" operator="equal" dxfId="5" stopIfTrue="1">
      <formula>"Sat"</formula>
    </cfRule>
    <cfRule type="cellIs" priority="594" operator="equal" dxfId="0" stopIfTrue="1">
      <formula>"Sun"</formula>
    </cfRule>
  </conditionalFormatting>
  <conditionalFormatting sqref="I17:BS17">
    <cfRule type="cellIs" priority="24" operator="equal" dxfId="0" stopIfTrue="1">
      <formula>"Sun"</formula>
    </cfRule>
    <cfRule type="cellIs" priority="23" operator="equal" dxfId="5" stopIfTrue="1">
      <formula>"Sat"</formula>
    </cfRule>
  </conditionalFormatting>
  <conditionalFormatting sqref="I42:BS44">
    <cfRule type="cellIs" priority="143" operator="equal" dxfId="5" stopIfTrue="1">
      <formula>"Sat"</formula>
    </cfRule>
  </conditionalFormatting>
  <conditionalFormatting sqref="J22:AO26">
    <cfRule type="cellIs" priority="10" operator="equal" dxfId="0" stopIfTrue="1">
      <formula>"Sun"</formula>
    </cfRule>
    <cfRule type="cellIs" priority="9" operator="equal" dxfId="5" stopIfTrue="1">
      <formula>"Sat"</formula>
    </cfRule>
  </conditionalFormatting>
  <conditionalFormatting sqref="J27:BR36">
    <cfRule type="cellIs" priority="20" operator="equal" dxfId="0" stopIfTrue="1">
      <formula>"Sun"</formula>
    </cfRule>
    <cfRule type="cellIs" priority="19" operator="equal" dxfId="5" stopIfTrue="1">
      <formula>"Sat"</formula>
    </cfRule>
  </conditionalFormatting>
  <conditionalFormatting sqref="J18:BS21">
    <cfRule type="cellIs" priority="5" operator="equal" dxfId="5" stopIfTrue="1">
      <formula>"Sat"</formula>
    </cfRule>
    <cfRule type="cellIs" priority="6" operator="equal" dxfId="0" stopIfTrue="1">
      <formula>"Sun"</formula>
    </cfRule>
  </conditionalFormatting>
  <conditionalFormatting sqref="J37:BS38">
    <cfRule type="cellIs" priority="132" operator="equal" dxfId="0" stopIfTrue="1">
      <formula>"Sun"</formula>
    </cfRule>
  </conditionalFormatting>
  <conditionalFormatting sqref="J37:BS41">
    <cfRule type="cellIs" priority="131" operator="equal" dxfId="5" stopIfTrue="1">
      <formula>"Sat"</formula>
    </cfRule>
  </conditionalFormatting>
  <conditionalFormatting sqref="J39:BS44">
    <cfRule type="cellIs" priority="144" operator="equal" dxfId="0" stopIfTrue="1">
      <formula>"Sun"</formula>
    </cfRule>
  </conditionalFormatting>
  <conditionalFormatting sqref="AP22:AP25 AP26:BR26">
    <cfRule type="cellIs" priority="175" operator="equal" dxfId="5" stopIfTrue="1">
      <formula>"Sat"</formula>
    </cfRule>
    <cfRule type="cellIs" priority="176" operator="equal" dxfId="0" stopIfTrue="1">
      <formula>"Sun"</formula>
    </cfRule>
  </conditionalFormatting>
  <conditionalFormatting sqref="AQ23:BR25">
    <cfRule type="cellIs" priority="3" operator="equal" dxfId="5" stopIfTrue="1">
      <formula>"Sat"</formula>
    </cfRule>
    <cfRule type="cellIs" priority="4" operator="equal" dxfId="0" stopIfTrue="1">
      <formula>"Sun"</formula>
    </cfRule>
  </conditionalFormatting>
  <conditionalFormatting sqref="AQ22:BS22">
    <cfRule type="cellIs" priority="139" operator="equal" dxfId="5" stopIfTrue="1">
      <formula>"Sat"</formula>
    </cfRule>
    <cfRule type="cellIs" priority="140" operator="equal" dxfId="0" stopIfTrue="1">
      <formula>"Sun"</formula>
    </cfRule>
  </conditionalFormatting>
  <conditionalFormatting sqref="BS23:BS36">
    <cfRule type="cellIs" priority="153" operator="equal" dxfId="5" stopIfTrue="1">
      <formula>"Sat"</formula>
    </cfRule>
    <cfRule type="cellIs" priority="154"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5.xml><?xml version="1.0" encoding="utf-8"?>
<worksheet xmlns="http://schemas.openxmlformats.org/spreadsheetml/2006/main">
  <sheetPr>
    <tabColor indexed="59"/>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C18" sqref="C18"/>
    </sheetView>
  </sheetViews>
  <sheetFormatPr baseColWidth="8" defaultColWidth="8.90625" defaultRowHeight="13.5"/>
  <cols>
    <col width="1.08984375" customWidth="1" style="1" min="1" max="1"/>
    <col width="27" customWidth="1" style="1" min="2" max="2"/>
    <col width="12.90625" bestFit="1" customWidth="1" style="1" min="3" max="3"/>
    <col width="14" bestFit="1" customWidth="1" style="1" min="4" max="4"/>
    <col width="1.6328125" customWidth="1" style="1" min="5" max="5"/>
    <col width="29" bestFit="1" customWidth="1" style="1" min="6" max="6"/>
    <col width="10.08984375" bestFit="1" customWidth="1" style="1" min="7" max="7"/>
    <col width="1.6328125" customWidth="1" style="1" min="8" max="8"/>
    <col width="25" customWidth="1" style="1" min="9" max="9"/>
    <col width="10.08984375" customWidth="1" style="1" min="10" max="10"/>
    <col width="11" bestFit="1" customWidth="1" style="1" min="11" max="11"/>
    <col width="10.08984375" customWidth="1" style="1" min="12" max="12"/>
    <col width="9.90625"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3.6328125"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0"/>
    <col width="13.08984375" bestFit="1" customWidth="1" style="1" min="31" max="31"/>
    <col width="8.90625" customWidth="1" style="1" min="32" max="32"/>
    <col width="11" bestFit="1" customWidth="1" style="1" min="33" max="33"/>
    <col width="8.90625" customWidth="1" style="1" min="34" max="36"/>
    <col width="12.6328125" bestFit="1" customWidth="1" style="1" min="37" max="37"/>
    <col width="8.90625" customWidth="1" style="1" min="38" max="40"/>
    <col width="11" bestFit="1" customWidth="1" style="1" min="41" max="41"/>
    <col width="8.90625" customWidth="1" style="1" min="42" max="42"/>
    <col width="10.7265625" bestFit="1" customWidth="1" style="1" min="43" max="43"/>
    <col width="8.90625" customWidth="1" style="1" min="44" max="48"/>
    <col width="10.7265625" bestFit="1" customWidth="1" style="1" min="49" max="49"/>
    <col width="8.90625" customWidth="1" style="1" min="50" max="56"/>
    <col width="11" bestFit="1" customWidth="1" style="1" min="57" max="57"/>
    <col width="8.90625" customWidth="1" style="1" min="58" max="60"/>
    <col width="9.6328125" customWidth="1" style="1" min="61" max="61"/>
    <col width="8.90625" customWidth="1" style="1" min="62" max="62"/>
    <col width="11.36328125" customWidth="1" style="1" min="63" max="63"/>
    <col width="8.90625" customWidth="1" style="1" min="64" max="64"/>
    <col width="12.36328125" customWidth="1" style="1" min="65" max="65"/>
    <col width="8.90625" customWidth="1" style="1" min="66" max="66"/>
    <col width="11" customWidth="1" style="1" min="67" max="67"/>
    <col width="8.90625" customWidth="1" style="1" min="68" max="68"/>
    <col width="11" bestFit="1" customWidth="1" style="1" min="69" max="69"/>
    <col width="10.08984375"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4</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t="n"/>
      <c r="BS2" s="96" t="n"/>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n"/>
      <c r="BS5" s="107" t="n"/>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177"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178"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1"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179"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180" t="n"/>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46"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F18+Mar!F22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71"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B45" s="176" t="n"/>
      <c r="C45" s="176" t="n"/>
      <c r="D45" s="176" t="n"/>
      <c r="E45" s="176" t="n"/>
      <c r="F45" s="176" t="n"/>
    </row>
    <row r="46" ht="14" customHeight="1" s="304">
      <c r="B46" s="176" t="n"/>
      <c r="C46" s="176" t="n"/>
      <c r="D46" s="176" t="n"/>
      <c r="E46" s="176" t="n"/>
      <c r="F46" s="176" t="n"/>
    </row>
    <row r="47" ht="40" customHeight="1" s="304">
      <c r="A47" s="62" t="n"/>
      <c r="B47" s="451" t="inlineStr">
        <is>
          <t>Transactions this month
One row per posted line. These rows are not included in the totals above. Payments are not listed.</t>
        </is>
      </c>
    </row>
    <row r="48" ht="32" customHeight="1" s="304">
      <c r="A48" s="62" t="n"/>
      <c r="B48" s="452" t="inlineStr">
        <is>
          <t>Card</t>
        </is>
      </c>
      <c r="C48" s="452" t="inlineStr">
        <is>
          <t>Trans date</t>
        </is>
      </c>
      <c r="D48" s="452" t="inlineStr">
        <is>
          <t>Post date</t>
        </is>
      </c>
      <c r="E48" s="176" t="n"/>
      <c r="F48" s="452"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A49" s="62" t="n"/>
      <c r="B49" s="176" t="n"/>
      <c r="C49" s="176" t="n"/>
      <c r="D49" s="176" t="n"/>
      <c r="E49" s="176" t="n"/>
      <c r="F49" s="176" t="n"/>
      <c r="G49" s="461" t="n"/>
    </row>
    <row r="50" ht="14" customHeight="1" s="304">
      <c r="A50" s="62" t="n"/>
      <c r="B50" s="176" t="n"/>
      <c r="C50" s="176" t="n"/>
      <c r="D50" s="176" t="n"/>
      <c r="E50" s="176" t="n"/>
      <c r="F50" s="176" t="n"/>
      <c r="G50" s="461" t="n"/>
    </row>
    <row r="51" ht="14" customHeight="1" s="304">
      <c r="A51" s="62" t="n"/>
      <c r="B51" s="45" t="n"/>
      <c r="C51" s="47" t="n"/>
      <c r="D51" s="167" t="n"/>
      <c r="E51" s="176" t="n"/>
      <c r="F51" s="176" t="n"/>
      <c r="G51" s="461" t="n"/>
    </row>
    <row r="52" ht="14" customHeight="1" s="304">
      <c r="A52" s="62" t="n"/>
      <c r="B52" s="45" t="n"/>
      <c r="C52" s="47" t="n"/>
      <c r="D52" s="167" t="n"/>
      <c r="E52" s="48" t="n"/>
      <c r="F52" s="62" t="n"/>
      <c r="G52" s="461" t="n"/>
    </row>
    <row r="53" ht="14" customHeight="1" s="304">
      <c r="A53" s="62" t="n"/>
      <c r="B53" s="45" t="n"/>
      <c r="C53" s="47" t="n"/>
      <c r="D53" s="167" t="n"/>
      <c r="E53" s="48" t="n"/>
      <c r="F53" s="62" t="n"/>
      <c r="G53" s="461" t="n"/>
    </row>
    <row r="54" ht="14" customHeight="1" s="304">
      <c r="A54" s="62" t="n"/>
      <c r="B54" s="45" t="n"/>
      <c r="C54" s="47" t="n"/>
      <c r="D54" s="167" t="n"/>
      <c r="E54" s="48" t="n"/>
      <c r="F54" s="62" t="n"/>
      <c r="G54" s="461" t="n"/>
    </row>
    <row r="55" ht="14" customHeight="1" s="304">
      <c r="A55" s="62" t="n"/>
      <c r="B55" s="45" t="n"/>
      <c r="C55" s="47" t="n"/>
      <c r="D55" s="167" t="n"/>
      <c r="E55" s="48" t="n"/>
      <c r="F55" s="62" t="n"/>
      <c r="G55" s="461" t="n"/>
    </row>
    <row r="56" ht="14" customHeight="1" s="304">
      <c r="A56" s="62" t="n"/>
      <c r="B56" s="45" t="n"/>
      <c r="C56" s="47" t="n"/>
      <c r="D56" s="167" t="n"/>
      <c r="E56" s="48" t="n"/>
      <c r="F56" s="62" t="n"/>
      <c r="G56" s="461" t="n"/>
    </row>
    <row r="57" ht="14" customHeight="1" s="304">
      <c r="A57" s="62" t="n"/>
      <c r="B57" s="62" t="n"/>
      <c r="C57" s="62" t="n"/>
      <c r="D57" s="168" t="n"/>
      <c r="E57" s="62" t="n"/>
      <c r="F57" s="62" t="n"/>
      <c r="G57" s="461" t="n"/>
    </row>
    <row r="58" ht="14" customHeight="1" s="304">
      <c r="A58" s="62" t="n"/>
      <c r="B58" s="62" t="n"/>
      <c r="C58" s="62" t="n"/>
      <c r="D58" s="62" t="n"/>
      <c r="E58" s="62" t="n"/>
      <c r="F58" s="62" t="n"/>
      <c r="G58" s="461" t="n"/>
    </row>
    <row r="59" ht="14" customHeight="1" s="304">
      <c r="A59" s="62" t="n"/>
      <c r="B59" s="62" t="n"/>
      <c r="C59" s="62" t="n"/>
      <c r="D59" s="62" t="n"/>
      <c r="E59" s="62" t="n"/>
      <c r="F59" s="62" t="n"/>
      <c r="G59" s="461" t="n"/>
    </row>
    <row r="60" ht="14" customHeight="1" s="304">
      <c r="A60" s="62" t="n"/>
      <c r="B60" s="62" t="n"/>
      <c r="C60" s="62" t="n"/>
      <c r="D60" s="62" t="n"/>
      <c r="E60" s="62" t="n"/>
      <c r="F60" s="62" t="n"/>
      <c r="G60" s="461" t="n"/>
    </row>
    <row r="61" ht="14" customHeight="1" s="304">
      <c r="A61" s="62" t="n"/>
      <c r="B61" s="62" t="n"/>
      <c r="C61" s="62" t="n"/>
      <c r="D61" s="62" t="n"/>
      <c r="E61" s="62" t="n"/>
      <c r="F61" s="62" t="n"/>
      <c r="G61" s="461" t="n"/>
    </row>
    <row r="62" ht="14" customHeight="1" s="304">
      <c r="A62" s="62" t="n"/>
      <c r="B62" s="62" t="n"/>
      <c r="C62" s="62" t="n"/>
      <c r="D62" s="62" t="n"/>
      <c r="E62" s="62" t="n"/>
      <c r="F62" s="62" t="n"/>
      <c r="G62" s="461" t="n"/>
    </row>
    <row r="63" ht="14" customHeight="1" s="304">
      <c r="A63" s="62" t="n"/>
      <c r="B63" s="62" t="n"/>
      <c r="C63" s="62" t="n"/>
      <c r="D63" s="62" t="n"/>
      <c r="E63" s="62" t="n"/>
      <c r="F63" s="62" t="n"/>
      <c r="G63" s="461" t="n"/>
    </row>
    <row r="64" ht="14" customHeight="1" s="304">
      <c r="A64" s="62" t="n"/>
      <c r="B64" s="62" t="n"/>
      <c r="C64" s="62" t="n"/>
      <c r="D64" s="62" t="n"/>
      <c r="E64" s="62" t="n"/>
      <c r="F64" s="62" t="n"/>
      <c r="G64" s="461" t="n"/>
    </row>
    <row r="65" ht="14" customHeight="1" s="304">
      <c r="A65" s="62" t="n"/>
      <c r="B65" s="62" t="n"/>
      <c r="C65" s="62" t="n"/>
      <c r="D65" s="62" t="n"/>
      <c r="E65" s="62" t="n"/>
      <c r="F65" s="62" t="n"/>
      <c r="G65" s="461" t="n"/>
    </row>
    <row r="66" ht="14" customHeight="1" s="304">
      <c r="A66" s="62" t="n"/>
      <c r="B66" s="62" t="n"/>
      <c r="C66" s="62" t="n"/>
      <c r="D66" s="62" t="n"/>
      <c r="E66" s="62" t="n"/>
      <c r="F66" s="62" t="n"/>
      <c r="G66" s="461" t="n"/>
    </row>
    <row r="67" ht="14" customHeight="1" s="304">
      <c r="A67" s="62" t="n"/>
      <c r="B67" s="62" t="n"/>
      <c r="C67" s="62" t="n"/>
      <c r="D67" s="62" t="n"/>
      <c r="E67" s="62" t="n"/>
      <c r="F67" s="62" t="n"/>
      <c r="G67" s="461" t="n"/>
    </row>
    <row r="68" ht="14" customHeight="1" s="304">
      <c r="A68" s="62" t="n"/>
      <c r="B68" s="62" t="n"/>
      <c r="C68" s="62" t="n"/>
      <c r="D68" s="62" t="n"/>
      <c r="E68" s="62" t="n"/>
      <c r="F68" s="62" t="n"/>
      <c r="G68" s="461" t="n"/>
    </row>
    <row r="69" ht="14" customHeight="1" s="304">
      <c r="A69" s="62" t="n"/>
      <c r="B69" s="62" t="n"/>
      <c r="C69" s="62" t="n"/>
      <c r="D69" s="62" t="n"/>
      <c r="E69" s="62" t="n"/>
      <c r="F69" s="62" t="n"/>
      <c r="G69" s="461" t="n"/>
    </row>
    <row r="70" ht="14" customHeight="1" s="304">
      <c r="A70" s="62" t="n"/>
      <c r="B70" s="62" t="n"/>
      <c r="C70" s="62" t="n"/>
      <c r="D70" s="62" t="n"/>
      <c r="E70" s="62" t="n"/>
      <c r="F70" s="62" t="n"/>
      <c r="G70" s="461" t="n"/>
    </row>
    <row r="71" ht="14" customHeight="1" s="304">
      <c r="A71" s="62" t="n"/>
      <c r="B71" s="62" t="n"/>
      <c r="C71" s="62" t="n"/>
      <c r="D71" s="62" t="n"/>
      <c r="E71" s="62" t="n"/>
      <c r="F71" s="62" t="n"/>
      <c r="G71" s="461" t="n"/>
    </row>
    <row r="72" ht="14" customHeight="1" s="304">
      <c r="A72" s="62" t="n"/>
      <c r="B72" s="62" t="n"/>
      <c r="C72" s="62" t="n"/>
      <c r="D72" s="62" t="n"/>
      <c r="E72" s="62" t="n"/>
      <c r="F72" s="62" t="n"/>
      <c r="G72" s="461" t="n"/>
    </row>
    <row r="73" ht="14" customHeight="1" s="304">
      <c r="A73" s="62" t="n"/>
      <c r="B73" s="62" t="n"/>
      <c r="C73" s="62" t="n"/>
      <c r="D73" s="62" t="n"/>
      <c r="E73" s="62" t="n"/>
      <c r="F73" s="62" t="n"/>
      <c r="G73" s="461" t="n"/>
    </row>
    <row r="74" ht="14" customHeight="1" s="304">
      <c r="A74" s="62" t="n"/>
      <c r="B74" s="62" t="n"/>
      <c r="C74" s="62" t="n"/>
      <c r="D74" s="62" t="n"/>
      <c r="E74" s="62" t="n"/>
      <c r="F74" s="62" t="n"/>
      <c r="G74" s="461" t="n"/>
    </row>
    <row r="75" ht="14" customHeight="1" s="304">
      <c r="A75" s="62" t="n"/>
      <c r="B75" s="62" t="n"/>
      <c r="C75" s="62" t="n"/>
      <c r="D75" s="62" t="n"/>
      <c r="E75" s="62" t="n"/>
      <c r="F75" s="62" t="n"/>
      <c r="G75" s="461" t="n"/>
    </row>
    <row r="76" ht="14" customHeight="1" s="304">
      <c r="A76" s="62" t="n"/>
      <c r="B76" s="62" t="n"/>
      <c r="C76" s="62" t="n"/>
      <c r="D76" s="62" t="n"/>
      <c r="E76" s="62" t="n"/>
      <c r="F76" s="62" t="n"/>
      <c r="G76" s="461" t="n"/>
    </row>
    <row r="77" ht="14" customHeight="1" s="304">
      <c r="A77" s="62" t="n"/>
      <c r="B77" s="62" t="n"/>
      <c r="C77" s="62" t="n"/>
      <c r="D77" s="62" t="n"/>
      <c r="E77" s="62" t="n"/>
      <c r="F77" s="62" t="n"/>
      <c r="G77" s="461" t="n"/>
    </row>
    <row r="78" ht="14" customHeight="1" s="304">
      <c r="A78" s="62" t="n"/>
      <c r="B78" s="62" t="n"/>
      <c r="C78" s="62" t="n"/>
      <c r="D78" s="62" t="n"/>
      <c r="E78" s="62" t="n"/>
      <c r="F78" s="62" t="n"/>
      <c r="G78" s="461" t="n"/>
    </row>
    <row r="79" ht="14" customHeight="1" s="304">
      <c r="A79" s="62" t="n"/>
      <c r="B79" s="62" t="n"/>
      <c r="C79" s="62" t="n"/>
      <c r="D79" s="62" t="n"/>
      <c r="E79" s="62" t="n"/>
      <c r="F79" s="62" t="n"/>
      <c r="G79" s="461" t="n"/>
    </row>
    <row r="80" ht="14" customHeight="1" s="304">
      <c r="A80" s="62" t="n"/>
      <c r="B80" s="62" t="n"/>
      <c r="C80" s="62" t="n"/>
      <c r="D80" s="62" t="n"/>
      <c r="E80" s="62" t="n"/>
      <c r="F80" s="62" t="n"/>
      <c r="G80" s="461" t="n"/>
    </row>
    <row r="81" ht="14" customHeight="1" s="304">
      <c r="A81" s="62" t="n"/>
      <c r="B81" s="62" t="n"/>
      <c r="C81" s="62" t="n"/>
      <c r="D81" s="62" t="n"/>
      <c r="E81" s="62" t="n"/>
      <c r="F81" s="62" t="n"/>
      <c r="G81" s="461" t="n"/>
    </row>
    <row r="82" ht="14" customHeight="1" s="304">
      <c r="A82" s="62" t="n"/>
      <c r="B82" s="62" t="n"/>
      <c r="C82" s="62" t="n"/>
      <c r="D82" s="62" t="n"/>
      <c r="E82" s="62" t="n"/>
      <c r="F82" s="62" t="n"/>
      <c r="G82" s="461" t="n"/>
    </row>
    <row r="83" ht="14" customHeight="1" s="304">
      <c r="A83" s="62" t="n"/>
      <c r="B83" s="62" t="n"/>
      <c r="C83" s="62" t="n"/>
      <c r="D83" s="62" t="n"/>
      <c r="E83" s="62" t="n"/>
      <c r="F83" s="62" t="n"/>
      <c r="G83" s="461" t="n"/>
    </row>
    <row r="84" ht="14" customHeight="1" s="304">
      <c r="A84" s="62" t="n"/>
      <c r="B84" s="62" t="n"/>
      <c r="C84" s="62" t="n"/>
      <c r="D84" s="62" t="n"/>
      <c r="E84" s="62" t="n"/>
      <c r="F84" s="62" t="n"/>
      <c r="G84" s="461" t="n"/>
    </row>
    <row r="85" ht="14" customHeight="1" s="304">
      <c r="A85" s="62" t="n"/>
      <c r="B85" s="62" t="n"/>
      <c r="C85" s="62" t="n"/>
      <c r="D85" s="62" t="n"/>
      <c r="E85" s="62" t="n"/>
      <c r="F85" s="62" t="n"/>
      <c r="G85" s="461" t="n"/>
    </row>
    <row r="86" ht="14" customHeight="1" s="304">
      <c r="A86" s="62" t="n"/>
      <c r="B86" s="62" t="n"/>
      <c r="C86" s="62" t="n"/>
      <c r="D86" s="62" t="n"/>
      <c r="E86" s="62" t="n"/>
      <c r="F86" s="62" t="n"/>
      <c r="G86" s="461" t="n"/>
    </row>
    <row r="87" ht="14" customHeight="1" s="304">
      <c r="A87" s="62" t="n"/>
      <c r="B87" s="62" t="n"/>
      <c r="C87" s="62" t="n"/>
      <c r="D87" s="62" t="n"/>
      <c r="E87" s="62" t="n"/>
      <c r="F87" s="62" t="n"/>
      <c r="G87" s="461" t="n"/>
    </row>
    <row r="88" ht="14" customHeight="1" s="304">
      <c r="A88" s="62" t="n"/>
      <c r="B88" s="62" t="n"/>
      <c r="C88" s="62" t="n"/>
      <c r="D88" s="62" t="n"/>
      <c r="E88" s="62" t="n"/>
      <c r="F88" s="62" t="n"/>
      <c r="G88" s="461" t="n"/>
    </row>
    <row r="89" ht="14" customHeight="1" s="304">
      <c r="A89" s="62" t="n"/>
      <c r="B89" s="62" t="n"/>
      <c r="C89" s="62" t="n"/>
      <c r="D89" s="62" t="n"/>
      <c r="E89" s="62" t="n"/>
      <c r="F89" s="62" t="n"/>
      <c r="G89" s="461" t="n"/>
    </row>
    <row r="90" ht="14" customHeight="1" s="304">
      <c r="A90" s="62" t="n"/>
      <c r="B90" s="62" t="n"/>
      <c r="C90" s="62" t="n"/>
      <c r="D90" s="62" t="n"/>
      <c r="E90" s="62" t="n"/>
      <c r="F90" s="62" t="n"/>
      <c r="G90" s="461" t="n"/>
    </row>
    <row r="91" ht="14" customHeight="1" s="304">
      <c r="A91" s="62" t="n"/>
      <c r="B91" s="62" t="n"/>
      <c r="C91" s="62" t="n"/>
      <c r="D91" s="62" t="n"/>
      <c r="E91" s="62" t="n"/>
      <c r="F91" s="62" t="n"/>
      <c r="G91" s="461" t="n"/>
    </row>
    <row r="92" ht="14" customHeight="1" s="304">
      <c r="A92" s="62" t="n"/>
      <c r="B92" s="62" t="n"/>
      <c r="C92" s="62" t="n"/>
      <c r="D92" s="62" t="n"/>
      <c r="E92" s="62" t="n"/>
      <c r="F92" s="62" t="n"/>
      <c r="G92" s="461" t="n"/>
    </row>
    <row r="93" ht="14" customHeight="1" s="304">
      <c r="A93" s="62" t="n"/>
      <c r="B93" s="62" t="n"/>
      <c r="C93" s="62" t="n"/>
      <c r="D93" s="62" t="n"/>
      <c r="E93" s="62" t="n"/>
      <c r="F93" s="62" t="n"/>
      <c r="G93" s="461" t="n"/>
    </row>
    <row r="94" ht="14" customHeight="1" s="304">
      <c r="A94" s="62" t="n"/>
      <c r="B94" s="62" t="n"/>
      <c r="C94" s="62" t="n"/>
      <c r="D94" s="62" t="n"/>
      <c r="E94" s="62" t="n"/>
      <c r="F94" s="62" t="n"/>
      <c r="G94" s="461" t="n"/>
    </row>
    <row r="95" ht="14" customHeight="1" s="304">
      <c r="A95" s="62" t="n"/>
      <c r="B95" s="62" t="n"/>
      <c r="C95" s="62" t="n"/>
      <c r="D95" s="62" t="n"/>
      <c r="E95" s="62" t="n"/>
      <c r="F95" s="62" t="n"/>
      <c r="G95" s="461" t="n"/>
    </row>
    <row r="96" ht="14" customHeight="1" s="304">
      <c r="A96" s="62" t="n"/>
      <c r="B96" s="62" t="n"/>
      <c r="C96" s="62" t="n"/>
      <c r="D96" s="62" t="n"/>
      <c r="E96" s="62" t="n"/>
      <c r="F96" s="62" t="n"/>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AD3:AE3"/>
    <mergeCell ref="AF3:AG3"/>
    <mergeCell ref="AX4:AY4"/>
    <mergeCell ref="F22:G23"/>
    <mergeCell ref="AH3:AI3"/>
    <mergeCell ref="AN3:AO3"/>
    <mergeCell ref="BH4:BI4"/>
    <mergeCell ref="I30:I31"/>
    <mergeCell ref="BJ4:BK4"/>
    <mergeCell ref="AP3:AQ3"/>
    <mergeCell ref="BB3:BC3"/>
    <mergeCell ref="I17:I19"/>
    <mergeCell ref="B47:I47"/>
    <mergeCell ref="B150:I150"/>
    <mergeCell ref="AB4:AC4"/>
    <mergeCell ref="R4:S4"/>
    <mergeCell ref="T4:U4"/>
    <mergeCell ref="AT3:AU3"/>
    <mergeCell ref="L3:M3"/>
    <mergeCell ref="BF3:BG3"/>
    <mergeCell ref="BD3:BE3"/>
    <mergeCell ref="BP4:BQ4"/>
    <mergeCell ref="AH4:AI4"/>
    <mergeCell ref="AN4:AO4"/>
    <mergeCell ref="BH3:BI3"/>
    <mergeCell ref="BN3:BO3"/>
    <mergeCell ref="AV3:AW3"/>
    <mergeCell ref="BP3:BQ3"/>
    <mergeCell ref="BR3:BS3"/>
    <mergeCell ref="N3:O3"/>
    <mergeCell ref="AB3:AC3"/>
    <mergeCell ref="AR4:AS4"/>
    <mergeCell ref="X3:Y3"/>
    <mergeCell ref="I22:I27"/>
    <mergeCell ref="AT4:AU4"/>
    <mergeCell ref="AZ4:BA4"/>
    <mergeCell ref="Z3:AA3"/>
    <mergeCell ref="AV4:AW4"/>
    <mergeCell ref="BB4:BC4"/>
    <mergeCell ref="J4:K4"/>
    <mergeCell ref="BD4:BE4"/>
    <mergeCell ref="AJ3:AK3"/>
    <mergeCell ref="L4:M4"/>
    <mergeCell ref="AL3:AM3"/>
    <mergeCell ref="BL4:BM4"/>
    <mergeCell ref="BF4:BG4"/>
    <mergeCell ref="BN4:BO4"/>
    <mergeCell ref="AF4:AG4"/>
    <mergeCell ref="F26:G39"/>
    <mergeCell ref="R3:S3"/>
    <mergeCell ref="I6:I16"/>
    <mergeCell ref="X4:Y4"/>
    <mergeCell ref="J3:K3"/>
    <mergeCell ref="BR4:BS4"/>
    <mergeCell ref="Z4:AA4"/>
    <mergeCell ref="AJ4:AK4"/>
    <mergeCell ref="BJ3:BK3"/>
    <mergeCell ref="AL4:AM4"/>
    <mergeCell ref="BL3:BM3"/>
    <mergeCell ref="AX3:AY3"/>
    <mergeCell ref="AZ3:BA3"/>
    <mergeCell ref="P3:Q3"/>
    <mergeCell ref="F18:G19"/>
    <mergeCell ref="AP4:AQ4"/>
    <mergeCell ref="AR3:AS3"/>
    <mergeCell ref="V4:W4"/>
    <mergeCell ref="T3:U3"/>
    <mergeCell ref="AD4:AE4"/>
    <mergeCell ref="V3:W3"/>
    <mergeCell ref="N4:O4"/>
  </mergeCells>
  <conditionalFormatting sqref="A1:H2 A3:I4 A5:A46 A97:XFD65536 B5:H5 B35:E44 E18:F18 E19:E34 F6:G14 F17:G17 F20:G21 F22 F25:F26 F40:G44 G45:XFD96 H6:H44 I2 I5:I6 I9 I42:I44 J5:BS16 BT1:IV44">
    <cfRule type="cellIs" priority="649" operator="equal" dxfId="0" stopIfTrue="1">
      <formula>"Sun"</formula>
    </cfRule>
  </conditionalFormatting>
  <conditionalFormatting sqref="A1:H2 A3:I4 A5:A46 A97:XFD65536 B5:H5 B35:E44 E18:F18 E19:E34 F6:G14 F17:G17 F20:G21 F22 F25:F26 F40:G44 G45:XFD96 H6:H44 I2 I5:I6 I9 J5:BS16 BT1:IV44">
    <cfRule type="cellIs" priority="648" operator="equal" dxfId="5" stopIfTrue="1">
      <formula>"Sat"</formula>
    </cfRule>
  </conditionalFormatting>
  <conditionalFormatting sqref="B18:B34">
    <cfRule type="cellIs" priority="439" operator="equal" dxfId="0" stopIfTrue="1">
      <formula>"Sun"</formula>
    </cfRule>
    <cfRule type="cellIs" priority="438" operator="equal" dxfId="5" stopIfTrue="1">
      <formula>"Sat"</formula>
    </cfRule>
  </conditionalFormatting>
  <conditionalFormatting sqref="B6:E17">
    <cfRule type="cellIs" priority="533" operator="equal" dxfId="0" stopIfTrue="1">
      <formula>"Sun"</formula>
    </cfRule>
    <cfRule type="cellIs" priority="532" operator="equal" dxfId="5" stopIfTrue="1">
      <formula>"Sat"</formula>
    </cfRule>
  </conditionalFormatting>
  <conditionalFormatting sqref="B45:F50 E51:F51">
    <cfRule type="cellIs" priority="473" operator="equal" dxfId="0" stopIfTrue="1">
      <formula>"Sun"</formula>
    </cfRule>
    <cfRule type="cellIs" priority="472" operator="equal" dxfId="5" stopIfTrue="1">
      <formula>"Sat"</formula>
    </cfRule>
  </conditionalFormatting>
  <conditionalFormatting sqref="C26:C27">
    <cfRule type="cellIs" priority="23" operator="equal" dxfId="5" stopIfTrue="1">
      <formula>"Sat"</formula>
    </cfRule>
    <cfRule type="cellIs" priority="24" operator="equal" dxfId="0" stopIfTrue="1">
      <formula>"Sun"</formula>
    </cfRule>
  </conditionalFormatting>
  <conditionalFormatting sqref="C29:C30">
    <cfRule type="cellIs" priority="21" operator="equal" dxfId="5" stopIfTrue="1">
      <formula>"Sat"</formula>
    </cfRule>
    <cfRule type="cellIs" priority="22" operator="equal" dxfId="0" stopIfTrue="1">
      <formula>"Sun"</formula>
    </cfRule>
  </conditionalFormatting>
  <conditionalFormatting sqref="C18:D19">
    <cfRule type="cellIs" priority="27" operator="equal" dxfId="5" stopIfTrue="1">
      <formula>"Sat"</formula>
    </cfRule>
    <cfRule type="cellIs" priority="28" operator="equal" dxfId="0" stopIfTrue="1">
      <formula>"Sun"</formula>
    </cfRule>
  </conditionalFormatting>
  <conditionalFormatting sqref="C21:D22">
    <cfRule type="cellIs" priority="2" operator="equal" dxfId="0" stopIfTrue="1">
      <formula>"Sun"</formula>
    </cfRule>
    <cfRule type="cellIs" priority="1" operator="equal" dxfId="5" stopIfTrue="1">
      <formula>"Sat"</formula>
    </cfRule>
  </conditionalFormatting>
  <conditionalFormatting sqref="C24:D24">
    <cfRule type="cellIs" priority="26" operator="equal" dxfId="0" stopIfTrue="1">
      <formula>"Sun"</formula>
    </cfRule>
    <cfRule type="cellIs" priority="25" operator="equal" dxfId="5" stopIfTrue="1">
      <formula>"Sat"</formula>
    </cfRule>
  </conditionalFormatting>
  <conditionalFormatting sqref="C31:D34">
    <cfRule type="cellIs" priority="51" operator="equal" dxfId="5" stopIfTrue="1">
      <formula>"Sat"</formula>
    </cfRule>
    <cfRule type="cellIs" priority="52" operator="equal" dxfId="0" stopIfTrue="1">
      <formula>"Sun"</formula>
    </cfRule>
  </conditionalFormatting>
  <conditionalFormatting sqref="D26:D28">
    <cfRule type="cellIs" priority="50" operator="equal" dxfId="0" stopIfTrue="1">
      <formula>"Sun"</formula>
    </cfRule>
    <cfRule type="cellIs" priority="49" operator="equal" dxfId="5" stopIfTrue="1">
      <formula>"Sat"</formula>
    </cfRule>
  </conditionalFormatting>
  <conditionalFormatting sqref="I20:I37">
    <cfRule type="cellIs" priority="588" operator="equal" dxfId="5" stopIfTrue="1">
      <formula>"Sat"</formula>
    </cfRule>
    <cfRule type="cellIs" priority="589" operator="equal" dxfId="0" stopIfTrue="1">
      <formula>"Sun"</formula>
    </cfRule>
  </conditionalFormatting>
  <conditionalFormatting sqref="I17:BS17">
    <cfRule type="cellIs" priority="12" operator="equal" dxfId="0" stopIfTrue="1">
      <formula>"Sun"</formula>
    </cfRule>
    <cfRule type="cellIs" priority="11" operator="equal" dxfId="5" stopIfTrue="1">
      <formula>"Sat"</formula>
    </cfRule>
  </conditionalFormatting>
  <conditionalFormatting sqref="I42:BS44">
    <cfRule type="cellIs" priority="164" operator="equal" dxfId="5" stopIfTrue="1">
      <formula>"Sat"</formula>
    </cfRule>
  </conditionalFormatting>
  <conditionalFormatting sqref="J28:S28">
    <cfRule type="cellIs" priority="8" operator="equal" dxfId="0" stopIfTrue="1">
      <formula>"Sun"</formula>
    </cfRule>
    <cfRule type="cellIs" priority="7" operator="equal" dxfId="5" stopIfTrue="1">
      <formula>"Sat"</formula>
    </cfRule>
  </conditionalFormatting>
  <conditionalFormatting sqref="J18:BS27">
    <cfRule type="cellIs" priority="5" operator="equal" dxfId="5" stopIfTrue="1">
      <formula>"Sat"</formula>
    </cfRule>
    <cfRule type="cellIs" priority="6" operator="equal" dxfId="0" stopIfTrue="1">
      <formula>"Sun"</formula>
    </cfRule>
  </conditionalFormatting>
  <conditionalFormatting sqref="J29:BS39">
    <cfRule type="cellIs" priority="4" operator="equal" dxfId="0" stopIfTrue="1">
      <formula>"Sun"</formula>
    </cfRule>
  </conditionalFormatting>
  <conditionalFormatting sqref="J29:BS41">
    <cfRule type="cellIs" priority="3" operator="equal" dxfId="5" stopIfTrue="1">
      <formula>"Sat"</formula>
    </cfRule>
  </conditionalFormatting>
  <conditionalFormatting sqref="J40:BS44">
    <cfRule type="cellIs" priority="165" operator="equal" dxfId="0" stopIfTrue="1">
      <formula>"Sun"</formula>
    </cfRule>
  </conditionalFormatting>
  <conditionalFormatting sqref="T28:BS28">
    <cfRule type="cellIs" priority="56" operator="equal" dxfId="5" stopIfTrue="1">
      <formula>"Sat"</formula>
    </cfRule>
    <cfRule type="cellIs" priority="57" operator="equal" dxfId="0" stopIfTrue="1">
      <formula>"Sun"</formula>
    </cfRule>
  </conditionalFormatting>
  <conditionalFormatting sqref="X28">
    <cfRule type="cellIs" priority="55"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6.xml><?xml version="1.0" encoding="utf-8"?>
<worksheet xmlns="http://schemas.openxmlformats.org/spreadsheetml/2006/main">
  <sheetPr>
    <tabColor indexed="50"/>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C18" sqref="C18"/>
    </sheetView>
  </sheetViews>
  <sheetFormatPr baseColWidth="8" defaultColWidth="8.90625" defaultRowHeight="13.5"/>
  <cols>
    <col width="1.08984375" customWidth="1" style="1" min="1" max="1"/>
    <col width="27" customWidth="1" style="1" min="2" max="2"/>
    <col width="13.90625" bestFit="1" customWidth="1" style="1" min="3" max="3"/>
    <col width="14" bestFit="1" customWidth="1" style="1" min="4" max="4"/>
    <col width="1.6328125" bestFit="1" customWidth="1" style="1" min="5" max="5"/>
    <col width="29" bestFit="1" customWidth="1" style="1" min="6" max="6"/>
    <col width="10.08984375" bestFit="1" customWidth="1" style="1" min="7" max="7"/>
    <col width="1.6328125" customWidth="1" style="1" min="8" max="8"/>
    <col width="25" customWidth="1" style="1" min="9" max="9"/>
    <col width="10.08984375" customWidth="1" style="1" min="10" max="10"/>
    <col width="9.90625" customWidth="1" style="1" min="11" max="11"/>
    <col width="10.08984375" customWidth="1" style="1" min="12" max="12"/>
    <col width="9.90625"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2.6328125" customWidth="1" style="1" min="24" max="24"/>
    <col width="12.6328125" bestFit="1" customWidth="1" style="1" min="25" max="25"/>
    <col width="11.08984375" customWidth="1" style="1" min="26" max="26"/>
    <col width="10.6328125" bestFit="1" customWidth="1" style="1" min="27" max="27"/>
    <col width="9.36328125" customWidth="1" style="1" min="28" max="28"/>
    <col width="12.6328125" bestFit="1" customWidth="1" style="1" min="29" max="29"/>
    <col width="8.90625" customWidth="1" style="1" min="30" max="30"/>
    <col width="12.6328125" bestFit="1" customWidth="1" style="1" min="31" max="31"/>
    <col width="8.90625" customWidth="1" style="1" min="32" max="34"/>
    <col width="10.6328125" bestFit="1" customWidth="1" style="1" min="35" max="35"/>
    <col width="8.90625" customWidth="1" style="1" min="36" max="36"/>
    <col width="10.6328125" bestFit="1" customWidth="1" style="1" min="37" max="37"/>
    <col width="8.90625" customWidth="1" style="1" min="38" max="38"/>
    <col width="10.6328125" bestFit="1" customWidth="1" style="1" min="39" max="39"/>
    <col width="8.90625" customWidth="1" style="1" min="40" max="40"/>
    <col width="10.6328125" bestFit="1" customWidth="1" style="1" min="41" max="41"/>
    <col width="8.90625" customWidth="1" style="1" min="42" max="42"/>
    <col width="10.6328125" bestFit="1" customWidth="1" style="1" min="43" max="43"/>
    <col width="8.90625" customWidth="1" style="1" min="44" max="44"/>
    <col width="10.6328125" bestFit="1" customWidth="1" style="1" min="45" max="45"/>
    <col width="8.90625" customWidth="1" style="1" min="46" max="46"/>
    <col width="12.6328125" bestFit="1" customWidth="1" style="1" min="47" max="47"/>
    <col width="8.90625" customWidth="1" style="1" min="48" max="48"/>
    <col width="12.6328125" bestFit="1" customWidth="1" style="1" min="49" max="49"/>
    <col width="8.90625" customWidth="1" style="1" min="50" max="50"/>
    <col width="12.6328125" bestFit="1" customWidth="1" style="1" min="51" max="51"/>
    <col width="11.08984375" customWidth="1" style="1" min="52" max="52"/>
    <col width="12.6328125" bestFit="1" customWidth="1" style="1" min="53" max="53"/>
    <col width="11.6328125" customWidth="1" style="1" min="54" max="54"/>
    <col width="12.6328125" bestFit="1" customWidth="1" style="1" min="55" max="55"/>
    <col width="11.90625" customWidth="1" style="1" min="56" max="56"/>
    <col width="12.6328125" bestFit="1" customWidth="1" style="1" min="57" max="57"/>
    <col width="12.36328125" customWidth="1" style="1" min="58" max="58"/>
    <col width="12.6328125" bestFit="1" customWidth="1" style="1" min="59" max="59"/>
    <col width="11.08984375" customWidth="1" style="1" min="60" max="60"/>
    <col width="12.6328125" bestFit="1" customWidth="1" style="1" min="61" max="61"/>
    <col width="10" customWidth="1" style="1" min="62" max="62"/>
    <col width="12.6328125" bestFit="1" customWidth="1" style="1" min="63" max="63"/>
    <col width="10.36328125" customWidth="1" style="1" min="64" max="64"/>
    <col width="12.6328125" bestFit="1" customWidth="1" style="1" min="65" max="65"/>
    <col width="11.36328125" customWidth="1" style="1" min="66" max="66"/>
    <col width="12.6328125" bestFit="1" customWidth="1" style="1" min="67" max="67"/>
    <col width="10.6328125" customWidth="1" style="1" min="68" max="68"/>
    <col width="12.6328125" bestFit="1" customWidth="1" style="1" min="69" max="69"/>
    <col width="11"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5</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f>IF(BP2="","",IF(BP2&gt;=$C$1,"",BP2+1))</f>
        <v/>
      </c>
      <c r="BS2" s="96">
        <f>IF(BR2="","",TEXT(BR2,"ddd"))</f>
        <v/>
      </c>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t="n"/>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t="n"/>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inlineStr">
        <is>
          <t>Item</t>
        </is>
      </c>
      <c r="BS5" s="107" t="inlineStr">
        <is>
          <t>Amount</t>
        </is>
      </c>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115"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174"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0"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181"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171">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0"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0"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F18+Apr!F22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71"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53"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71"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71" t="n"/>
      <c r="BM37" s="370" t="n"/>
      <c r="BN37" s="371" t="n"/>
      <c r="BO37" s="370"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71"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B45" s="176" t="n"/>
      <c r="C45" s="176" t="n"/>
      <c r="D45" s="176" t="n"/>
      <c r="E45" s="176" t="n"/>
      <c r="F45" s="176" t="n"/>
      <c r="G45" s="176" t="n"/>
    </row>
    <row r="46" ht="14" customHeight="1" s="304">
      <c r="B46" s="176" t="n"/>
      <c r="C46" s="176" t="n"/>
      <c r="D46" s="176" t="n"/>
      <c r="E46" s="176" t="n"/>
      <c r="F46" s="176" t="n"/>
      <c r="G46" s="176" t="n"/>
    </row>
    <row r="47" ht="40" customHeight="1" s="304">
      <c r="B47" s="451" t="inlineStr">
        <is>
          <t>Transactions this month
One row per posted line. These rows are not included in the totals above. Payments are not listed.</t>
        </is>
      </c>
      <c r="AF47" s="182" t="n"/>
      <c r="AG47" s="166" t="n"/>
      <c r="AJ47" s="182" t="n"/>
      <c r="AK47" s="166" t="n"/>
    </row>
    <row r="48" ht="32" customHeight="1" s="304">
      <c r="B48" s="452" t="inlineStr">
        <is>
          <t>Card</t>
        </is>
      </c>
      <c r="C48" s="452" t="inlineStr">
        <is>
          <t>Trans date</t>
        </is>
      </c>
      <c r="D48" s="452" t="inlineStr">
        <is>
          <t>Post date</t>
        </is>
      </c>
      <c r="E48" s="176" t="n"/>
      <c r="F48" s="452" t="inlineStr">
        <is>
          <t>Description</t>
        </is>
      </c>
      <c r="G48" s="452"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45" t="n"/>
      <c r="C49" s="47" t="n"/>
      <c r="D49" s="167" t="n"/>
      <c r="E49" s="176" t="n"/>
      <c r="F49" s="176" t="n"/>
      <c r="G49" s="166" t="n"/>
    </row>
    <row r="50" ht="14" customHeight="1" s="304">
      <c r="B50" s="45" t="n"/>
      <c r="C50" s="47" t="n"/>
      <c r="D50" s="167" t="n"/>
      <c r="E50" s="176" t="n"/>
      <c r="F50" s="176" t="n"/>
      <c r="G50" s="166" t="n"/>
    </row>
    <row r="51" ht="14" customHeight="1" s="304">
      <c r="B51" s="45" t="n"/>
      <c r="C51" s="47" t="n"/>
      <c r="D51" s="167" t="n"/>
      <c r="E51" s="176" t="n"/>
      <c r="F51" s="176" t="n"/>
      <c r="G51" s="166" t="n"/>
    </row>
    <row r="52" ht="14" customHeight="1" s="304">
      <c r="B52" s="45" t="n"/>
      <c r="C52" s="47" t="n"/>
      <c r="D52" s="167" t="n"/>
      <c r="E52" s="48" t="n"/>
      <c r="F52" s="62" t="n"/>
      <c r="G52" s="166" t="n"/>
    </row>
    <row r="53" ht="14" customHeight="1" s="304">
      <c r="B53" s="45" t="n"/>
      <c r="C53" s="47" t="n"/>
      <c r="D53" s="167" t="n"/>
      <c r="E53" s="48" t="n"/>
      <c r="F53" s="62" t="n"/>
      <c r="G53" s="166" t="n"/>
    </row>
    <row r="54" ht="14" customHeight="1" s="304">
      <c r="B54" s="45" t="n"/>
      <c r="C54" s="47" t="n"/>
      <c r="D54" s="167" t="n"/>
      <c r="E54" s="48" t="n"/>
      <c r="F54" s="62" t="n"/>
      <c r="G54" s="166" t="n"/>
    </row>
    <row r="55" ht="14" customHeight="1" s="304">
      <c r="B55" s="45" t="n"/>
      <c r="C55" s="47" t="n"/>
      <c r="D55" s="167" t="n"/>
      <c r="E55" s="48" t="n"/>
      <c r="F55" s="62" t="n"/>
      <c r="G55" s="166" t="n"/>
    </row>
    <row r="56" ht="14" customHeight="1" s="304">
      <c r="B56" s="45" t="n"/>
      <c r="C56" s="47" t="n"/>
      <c r="D56" s="167" t="n"/>
      <c r="E56" s="48" t="n"/>
      <c r="F56" s="62" t="n"/>
      <c r="G56" s="166" t="n"/>
    </row>
    <row r="57" ht="14" customHeight="1" s="304">
      <c r="B57" s="62" t="n"/>
      <c r="C57" s="62" t="n"/>
      <c r="D57" s="168" t="n"/>
      <c r="E57" s="176" t="n"/>
      <c r="F57" s="176" t="n"/>
      <c r="G57" s="166" t="n"/>
    </row>
    <row r="58" ht="14" customHeight="1" s="304">
      <c r="B58" s="176" t="n"/>
      <c r="C58" s="176" t="n"/>
      <c r="D58" s="168" t="n"/>
      <c r="E58" s="176" t="n"/>
      <c r="F58" s="176" t="n"/>
      <c r="G58" s="166" t="n"/>
    </row>
    <row r="59" ht="14" customHeight="1" s="304">
      <c r="B59" s="176" t="n"/>
      <c r="C59" s="176" t="n"/>
      <c r="D59" s="176" t="n"/>
      <c r="E59" s="176" t="n"/>
      <c r="F59" s="176" t="n"/>
      <c r="G59" s="166" t="n"/>
    </row>
    <row r="60" ht="14" customHeight="1" s="304">
      <c r="B60" s="176" t="n"/>
      <c r="C60" s="176" t="n"/>
      <c r="D60" s="176" t="n"/>
      <c r="E60" s="176" t="n"/>
      <c r="F60" s="176" t="n"/>
      <c r="G60" s="166" t="n"/>
    </row>
    <row r="61" ht="14" customHeight="1" s="304">
      <c r="B61" s="176" t="n"/>
      <c r="C61" s="176" t="n"/>
      <c r="D61" s="176" t="n"/>
      <c r="E61" s="176" t="n"/>
      <c r="F61" s="176" t="n"/>
      <c r="G61" s="166" t="n"/>
    </row>
    <row r="62" ht="14" customHeight="1" s="304">
      <c r="B62" s="176" t="n"/>
      <c r="C62" s="176" t="n"/>
      <c r="D62" s="176" t="n"/>
      <c r="E62" s="176" t="n"/>
      <c r="F62" s="176" t="n"/>
      <c r="G62" s="166" t="n"/>
    </row>
    <row r="63" ht="14" customHeight="1" s="304">
      <c r="B63" s="176" t="n"/>
      <c r="C63" s="176" t="n"/>
      <c r="D63" s="176" t="n"/>
      <c r="E63" s="176" t="n"/>
      <c r="F63" s="176" t="n"/>
      <c r="G63" s="166" t="n"/>
    </row>
    <row r="64" ht="14" customHeight="1" s="304">
      <c r="B64" s="176" t="n"/>
      <c r="C64" s="176" t="n"/>
      <c r="D64" s="176" t="n"/>
      <c r="E64" s="176" t="n"/>
      <c r="F64" s="176" t="n"/>
      <c r="G64" s="166" t="n"/>
    </row>
    <row r="65" ht="14" customHeight="1" s="304">
      <c r="B65" s="176" t="n"/>
      <c r="C65" s="176" t="n"/>
      <c r="D65" s="176" t="n"/>
      <c r="E65" s="176" t="n"/>
      <c r="F65" s="176" t="n"/>
      <c r="G65" s="166" t="n"/>
    </row>
    <row r="66" ht="14" customHeight="1" s="304">
      <c r="B66" s="176" t="n"/>
      <c r="C66" s="176" t="n"/>
      <c r="D66" s="176" t="n"/>
      <c r="E66" s="176" t="n"/>
      <c r="F66" s="176" t="n"/>
      <c r="G66" s="166" t="n"/>
    </row>
    <row r="67" ht="14" customHeight="1" s="304">
      <c r="B67" s="176" t="n"/>
      <c r="C67" s="176" t="n"/>
      <c r="D67" s="176" t="n"/>
      <c r="E67" s="176" t="n"/>
      <c r="F67" s="176" t="n"/>
      <c r="G67" s="166" t="n"/>
    </row>
    <row r="68" ht="14" customHeight="1" s="304">
      <c r="B68" s="176" t="n"/>
      <c r="C68" s="176" t="n"/>
      <c r="D68" s="176" t="n"/>
      <c r="E68" s="176" t="n"/>
      <c r="F68" s="176" t="n"/>
      <c r="G68" s="166" t="n"/>
    </row>
    <row r="69" ht="14" customHeight="1" s="304">
      <c r="B69" s="176" t="n"/>
      <c r="C69" s="176" t="n"/>
      <c r="D69" s="176" t="n"/>
      <c r="E69" s="176" t="n"/>
      <c r="F69" s="176" t="n"/>
      <c r="G69" s="166" t="n"/>
    </row>
    <row r="70" ht="14" customHeight="1" s="304">
      <c r="B70" s="176" t="n"/>
      <c r="C70" s="176" t="n"/>
      <c r="D70" s="176" t="n"/>
      <c r="E70" s="176" t="n"/>
      <c r="F70" s="176" t="n"/>
      <c r="G70" s="166" t="n"/>
    </row>
    <row r="71" ht="14" customHeight="1" s="304">
      <c r="B71" s="176" t="n"/>
      <c r="C71" s="176" t="n"/>
      <c r="D71" s="176" t="n"/>
      <c r="E71" s="176" t="n"/>
      <c r="F71" s="176" t="n"/>
      <c r="G71" s="166" t="n"/>
    </row>
    <row r="72" ht="14" customHeight="1" s="304">
      <c r="B72" s="176" t="n"/>
      <c r="C72" s="176" t="n"/>
      <c r="D72" s="176" t="n"/>
      <c r="E72" s="176" t="n"/>
      <c r="F72" s="176" t="n"/>
      <c r="G72" s="166" t="n"/>
    </row>
    <row r="73" ht="14" customHeight="1" s="304">
      <c r="B73" s="176" t="n"/>
      <c r="C73" s="176" t="n"/>
      <c r="D73" s="176" t="n"/>
      <c r="E73" s="176" t="n"/>
      <c r="F73" s="176" t="n"/>
      <c r="G73" s="166" t="n"/>
    </row>
    <row r="74" ht="14" customHeight="1" s="304">
      <c r="B74" s="176" t="n"/>
      <c r="C74" s="176" t="n"/>
      <c r="D74" s="176" t="n"/>
      <c r="E74" s="176" t="n"/>
      <c r="F74" s="176" t="n"/>
      <c r="G74" s="166" t="n"/>
    </row>
    <row r="75" ht="14" customHeight="1" s="304">
      <c r="B75" s="176" t="n"/>
      <c r="C75" s="176" t="n"/>
      <c r="D75" s="176" t="n"/>
      <c r="E75" s="176" t="n"/>
      <c r="F75" s="176" t="n"/>
      <c r="G75" s="166" t="n"/>
    </row>
    <row r="76" ht="14" customHeight="1" s="304">
      <c r="B76" s="176" t="n"/>
      <c r="C76" s="176" t="n"/>
      <c r="D76" s="176" t="n"/>
      <c r="E76" s="176" t="n"/>
      <c r="F76" s="176" t="n"/>
      <c r="G76" s="166" t="n"/>
    </row>
    <row r="77" ht="14" customHeight="1" s="304">
      <c r="B77" s="176" t="n"/>
      <c r="C77" s="176" t="n"/>
      <c r="D77" s="176" t="n"/>
      <c r="E77" s="176" t="n"/>
      <c r="F77" s="176" t="n"/>
      <c r="G77" s="166" t="n"/>
    </row>
    <row r="78" ht="14" customHeight="1" s="304">
      <c r="B78" s="176" t="n"/>
      <c r="C78" s="176" t="n"/>
      <c r="D78" s="176" t="n"/>
      <c r="E78" s="176" t="n"/>
      <c r="F78" s="176" t="n"/>
      <c r="G78" s="166" t="n"/>
    </row>
    <row r="79" ht="14" customHeight="1" s="304">
      <c r="B79" s="176" t="n"/>
      <c r="C79" s="176" t="n"/>
      <c r="D79" s="176" t="n"/>
      <c r="E79" s="176" t="n"/>
      <c r="F79" s="176" t="n"/>
      <c r="G79" s="166" t="n"/>
    </row>
    <row r="80" ht="14" customHeight="1" s="304">
      <c r="B80" s="176" t="n"/>
      <c r="C80" s="176" t="n"/>
      <c r="D80" s="176" t="n"/>
      <c r="E80" s="176" t="n"/>
      <c r="F80" s="176" t="n"/>
      <c r="G80" s="166" t="n"/>
    </row>
    <row r="81" ht="14" customHeight="1" s="304">
      <c r="B81" s="176" t="n"/>
      <c r="C81" s="176" t="n"/>
      <c r="D81" s="176" t="n"/>
      <c r="E81" s="176" t="n"/>
      <c r="F81" s="176" t="n"/>
      <c r="G81" s="166" t="n"/>
    </row>
    <row r="82" ht="14" customHeight="1" s="304">
      <c r="B82" s="176" t="n"/>
      <c r="C82" s="176" t="n"/>
      <c r="D82" s="176" t="n"/>
      <c r="E82" s="176" t="n"/>
      <c r="F82" s="176" t="n"/>
      <c r="G82" s="166" t="n"/>
    </row>
    <row r="83" ht="14" customHeight="1" s="304">
      <c r="B83" s="176" t="n"/>
      <c r="C83" s="176" t="n"/>
      <c r="D83" s="176" t="n"/>
      <c r="E83" s="176" t="n"/>
      <c r="F83" s="176" t="n"/>
      <c r="G83" s="166" t="n"/>
    </row>
    <row r="84" ht="14" customHeight="1" s="304">
      <c r="B84" s="176" t="n"/>
      <c r="C84" s="176" t="n"/>
      <c r="D84" s="176" t="n"/>
      <c r="E84" s="176" t="n"/>
      <c r="F84" s="176" t="n"/>
      <c r="G84" s="166" t="n"/>
    </row>
    <row r="85">
      <c r="G85" s="461" t="n"/>
    </row>
    <row r="86">
      <c r="G86" s="461" t="n"/>
    </row>
    <row r="87">
      <c r="G87" s="461" t="n"/>
    </row>
    <row r="88">
      <c r="G88" s="461" t="n"/>
    </row>
    <row r="89">
      <c r="G89" s="461" t="n"/>
    </row>
    <row r="90">
      <c r="G90" s="461" t="n"/>
    </row>
    <row r="91">
      <c r="G91" s="461" t="n"/>
    </row>
    <row r="92">
      <c r="G92" s="461" t="n"/>
    </row>
    <row r="93">
      <c r="G93" s="461" t="n"/>
    </row>
    <row r="94">
      <c r="G94" s="461" t="n"/>
    </row>
    <row r="95">
      <c r="G95" s="461" t="n"/>
    </row>
    <row r="96">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AD3:AE3"/>
    <mergeCell ref="AF3:AG3"/>
    <mergeCell ref="AX4:AY4"/>
    <mergeCell ref="F22:G23"/>
    <mergeCell ref="AH3:AI3"/>
    <mergeCell ref="AN3:AO3"/>
    <mergeCell ref="BH4:BI4"/>
    <mergeCell ref="I30:I31"/>
    <mergeCell ref="BJ4:BK4"/>
    <mergeCell ref="AP3:AQ3"/>
    <mergeCell ref="BB3:BC3"/>
    <mergeCell ref="I17:I19"/>
    <mergeCell ref="B47:I47"/>
    <mergeCell ref="B150:I150"/>
    <mergeCell ref="AB4:AC4"/>
    <mergeCell ref="R4:S4"/>
    <mergeCell ref="T4:U4"/>
    <mergeCell ref="AT3:AU3"/>
    <mergeCell ref="L3:M3"/>
    <mergeCell ref="BF3:BG3"/>
    <mergeCell ref="BD3:BE3"/>
    <mergeCell ref="BP4:BQ4"/>
    <mergeCell ref="AH4:AI4"/>
    <mergeCell ref="AN4:AO4"/>
    <mergeCell ref="BH3:BI3"/>
    <mergeCell ref="BN3:BO3"/>
    <mergeCell ref="AV3:AW3"/>
    <mergeCell ref="BP3:BQ3"/>
    <mergeCell ref="BR3:BS3"/>
    <mergeCell ref="N3:O3"/>
    <mergeCell ref="AB3:AC3"/>
    <mergeCell ref="AR4:AS4"/>
    <mergeCell ref="X3:Y3"/>
    <mergeCell ref="I22:I27"/>
    <mergeCell ref="AT4:AU4"/>
    <mergeCell ref="AZ4:BA4"/>
    <mergeCell ref="Z3:AA3"/>
    <mergeCell ref="AV4:AW4"/>
    <mergeCell ref="BB4:BC4"/>
    <mergeCell ref="J4:K4"/>
    <mergeCell ref="BD4:BE4"/>
    <mergeCell ref="AJ3:AK3"/>
    <mergeCell ref="L4:M4"/>
    <mergeCell ref="AL3:AM3"/>
    <mergeCell ref="BL4:BM4"/>
    <mergeCell ref="BF4:BG4"/>
    <mergeCell ref="BN4:BO4"/>
    <mergeCell ref="AF4:AG4"/>
    <mergeCell ref="F26:G39"/>
    <mergeCell ref="R3:S3"/>
    <mergeCell ref="I6:I16"/>
    <mergeCell ref="X4:Y4"/>
    <mergeCell ref="J3:K3"/>
    <mergeCell ref="BR4:BS4"/>
    <mergeCell ref="Z4:AA4"/>
    <mergeCell ref="AJ4:AK4"/>
    <mergeCell ref="BJ3:BK3"/>
    <mergeCell ref="AL4:AM4"/>
    <mergeCell ref="BL3:BM3"/>
    <mergeCell ref="AX3:AY3"/>
    <mergeCell ref="AZ3:BA3"/>
    <mergeCell ref="P3:Q3"/>
    <mergeCell ref="F18:G19"/>
    <mergeCell ref="AP4:AQ4"/>
    <mergeCell ref="AR3:AS3"/>
    <mergeCell ref="V4:W4"/>
    <mergeCell ref="T3:U3"/>
    <mergeCell ref="AD4:AE4"/>
    <mergeCell ref="V3:W3"/>
    <mergeCell ref="N4:O4"/>
  </mergeCells>
  <conditionalFormatting sqref="A1:H2 A3:I4 A5:A84 A85:XFD65508 B5:H5 B35:E44 E19:E21 E23:E34 F6:G14 F17:G17 F20:G21 F25:F26 F40:G44 H6:H44 H45:XFD84 I2 I5:I6 I9 I42:I44 J5:BS16 BT1:IV44">
    <cfRule type="cellIs" priority="744" operator="equal" dxfId="0" stopIfTrue="1">
      <formula>"Sun"</formula>
    </cfRule>
  </conditionalFormatting>
  <conditionalFormatting sqref="A1:H2 A3:I4 A5:A84 A85:XFD65508 B5:H5 B35:E44 E19:E21 E23:E34 F6:G14 F17:G17 F20:G21 F25:F26 F40:G44 H6:H44 H45:XFD84 I2 I5:I6 I9 J5:BS16 BT1:IV44">
    <cfRule type="cellIs" priority="743" operator="equal" dxfId="5" stopIfTrue="1">
      <formula>"Sat"</formula>
    </cfRule>
  </conditionalFormatting>
  <conditionalFormatting sqref="B18:B34">
    <cfRule type="cellIs" priority="484" operator="equal" dxfId="0" stopIfTrue="1">
      <formula>"Sun"</formula>
    </cfRule>
    <cfRule type="cellIs" priority="483" operator="equal" dxfId="5" stopIfTrue="1">
      <formula>"Sat"</formula>
    </cfRule>
  </conditionalFormatting>
  <conditionalFormatting sqref="B58:C58">
    <cfRule type="cellIs" priority="122" operator="equal" dxfId="0" stopIfTrue="1">
      <formula>"Sun"</formula>
    </cfRule>
    <cfRule type="cellIs" priority="121" operator="equal" dxfId="5" stopIfTrue="1">
      <formula>"Sat"</formula>
    </cfRule>
  </conditionalFormatting>
  <conditionalFormatting sqref="B6:E17">
    <cfRule type="cellIs" priority="598" operator="equal" dxfId="0" stopIfTrue="1">
      <formula>"Sun"</formula>
    </cfRule>
    <cfRule type="cellIs" priority="597" operator="equal" dxfId="5" stopIfTrue="1">
      <formula>"Sat"</formula>
    </cfRule>
  </conditionalFormatting>
  <conditionalFormatting sqref="B45:G48 B59:G84 E49:G51 E57:G58 G52:G56">
    <cfRule type="cellIs" priority="524" operator="equal" dxfId="0" stopIfTrue="1">
      <formula>"Sun"</formula>
    </cfRule>
    <cfRule type="cellIs" priority="523" operator="equal" dxfId="5" stopIfTrue="1">
      <formula>"Sat"</formula>
    </cfRule>
  </conditionalFormatting>
  <conditionalFormatting sqref="C27">
    <cfRule type="cellIs" priority="41" operator="equal" dxfId="5" stopIfTrue="1">
      <formula>"Sat"</formula>
    </cfRule>
    <cfRule type="cellIs" priority="42" operator="equal" dxfId="0" stopIfTrue="1">
      <formula>"Sun"</formula>
    </cfRule>
  </conditionalFormatting>
  <conditionalFormatting sqref="C29:C30">
    <cfRule type="cellIs" priority="39" operator="equal" dxfId="5" stopIfTrue="1">
      <formula>"Sat"</formula>
    </cfRule>
    <cfRule type="cellIs" priority="40" operator="equal" dxfId="0" stopIfTrue="1">
      <formula>"Sun"</formula>
    </cfRule>
  </conditionalFormatting>
  <conditionalFormatting sqref="C19:D19">
    <cfRule type="cellIs" priority="51" operator="equal" dxfId="5" stopIfTrue="1">
      <formula>"Sat"</formula>
    </cfRule>
    <cfRule type="cellIs" priority="52" operator="equal" dxfId="0" stopIfTrue="1">
      <formula>"Sun"</formula>
    </cfRule>
  </conditionalFormatting>
  <conditionalFormatting sqref="C21:D21">
    <cfRule type="cellIs" priority="1" operator="equal" dxfId="5" stopIfTrue="1">
      <formula>"Sat"</formula>
    </cfRule>
    <cfRule type="cellIs" priority="2" operator="equal" dxfId="0" stopIfTrue="1">
      <formula>"Sun"</formula>
    </cfRule>
  </conditionalFormatting>
  <conditionalFormatting sqref="C24:D24">
    <cfRule type="cellIs" priority="33" operator="equal" dxfId="5" stopIfTrue="1">
      <formula>"Sat"</formula>
    </cfRule>
    <cfRule type="cellIs" priority="34" operator="equal" dxfId="0" stopIfTrue="1">
      <formula>"Sun"</formula>
    </cfRule>
  </conditionalFormatting>
  <conditionalFormatting sqref="C26:D26">
    <cfRule type="cellIs" priority="53" operator="equal" dxfId="5" stopIfTrue="1">
      <formula>"Sat"</formula>
    </cfRule>
    <cfRule type="cellIs" priority="54" operator="equal" dxfId="0" stopIfTrue="1">
      <formula>"Sun"</formula>
    </cfRule>
  </conditionalFormatting>
  <conditionalFormatting sqref="C31:D34">
    <cfRule type="cellIs" priority="55" operator="equal" dxfId="5" stopIfTrue="1">
      <formula>"Sat"</formula>
    </cfRule>
    <cfRule type="cellIs" priority="56" operator="equal" dxfId="0" stopIfTrue="1">
      <formula>"Sun"</formula>
    </cfRule>
  </conditionalFormatting>
  <conditionalFormatting sqref="C18:F18">
    <cfRule type="cellIs" priority="37" operator="equal" dxfId="5" stopIfTrue="1">
      <formula>"Sat"</formula>
    </cfRule>
    <cfRule type="cellIs" priority="38" operator="equal" dxfId="0" stopIfTrue="1">
      <formula>"Sun"</formula>
    </cfRule>
  </conditionalFormatting>
  <conditionalFormatting sqref="C22:F22">
    <cfRule type="cellIs" priority="43" operator="equal" dxfId="5" stopIfTrue="1">
      <formula>"Sat"</formula>
    </cfRule>
    <cfRule type="cellIs" priority="44" operator="equal" dxfId="0" stopIfTrue="1">
      <formula>"Sun"</formula>
    </cfRule>
  </conditionalFormatting>
  <conditionalFormatting sqref="D27:D28">
    <cfRule type="cellIs" priority="57" operator="equal" dxfId="5" stopIfTrue="1">
      <formula>"Sat"</formula>
    </cfRule>
    <cfRule type="cellIs" priority="58" operator="equal" dxfId="0" stopIfTrue="1">
      <formula>"Sun"</formula>
    </cfRule>
  </conditionalFormatting>
  <conditionalFormatting sqref="I20:I37">
    <cfRule type="cellIs" priority="656" operator="equal" dxfId="0" stopIfTrue="1">
      <formula>"Sun"</formula>
    </cfRule>
    <cfRule type="cellIs" priority="655" operator="equal" dxfId="5" stopIfTrue="1">
      <formula>"Sat"</formula>
    </cfRule>
  </conditionalFormatting>
  <conditionalFormatting sqref="I17:BS17">
    <cfRule type="cellIs" priority="89" operator="equal" dxfId="5" stopIfTrue="1">
      <formula>"Sat"</formula>
    </cfRule>
    <cfRule type="cellIs" priority="90" operator="equal" dxfId="0" stopIfTrue="1">
      <formula>"Sun"</formula>
    </cfRule>
  </conditionalFormatting>
  <conditionalFormatting sqref="I42:BS44">
    <cfRule type="cellIs" priority="195" operator="equal" dxfId="5" stopIfTrue="1">
      <formula>"Sat"</formula>
    </cfRule>
  </conditionalFormatting>
  <conditionalFormatting sqref="J39">
    <cfRule type="cellIs" priority="26" operator="equal" dxfId="0" stopIfTrue="1">
      <formula>"Sun"</formula>
    </cfRule>
    <cfRule type="cellIs" priority="25" operator="equal" dxfId="5" stopIfTrue="1">
      <formula>"Sat"</formula>
    </cfRule>
  </conditionalFormatting>
  <conditionalFormatting sqref="J22:AO26">
    <cfRule type="cellIs" priority="99" operator="equal" dxfId="5" stopIfTrue="1">
      <formula>"Sat"</formula>
    </cfRule>
    <cfRule type="cellIs" priority="100" operator="equal" dxfId="0" stopIfTrue="1">
      <formula>"Sun"</formula>
    </cfRule>
  </conditionalFormatting>
  <conditionalFormatting sqref="J36:BK36">
    <cfRule type="cellIs" priority="12" operator="equal" dxfId="0" stopIfTrue="1">
      <formula>"Sun"</formula>
    </cfRule>
    <cfRule type="cellIs" priority="11" operator="equal" dxfId="5" stopIfTrue="1">
      <formula>"Sat"</formula>
    </cfRule>
  </conditionalFormatting>
  <conditionalFormatting sqref="J37:BK37">
    <cfRule type="cellIs" priority="67" operator="equal" dxfId="5" stopIfTrue="1">
      <formula>"Sat"</formula>
    </cfRule>
    <cfRule type="cellIs" priority="68" operator="equal" dxfId="0" stopIfTrue="1">
      <formula>"Sun"</formula>
    </cfRule>
  </conditionalFormatting>
  <conditionalFormatting sqref="J27:BR35">
    <cfRule type="cellIs" priority="7" operator="equal" dxfId="5" stopIfTrue="1">
      <formula>"Sat"</formula>
    </cfRule>
    <cfRule type="cellIs" priority="8" operator="equal" dxfId="0" stopIfTrue="1">
      <formula>"Sun"</formula>
    </cfRule>
  </conditionalFormatting>
  <conditionalFormatting sqref="J18:BS21">
    <cfRule type="cellIs" priority="3" operator="equal" dxfId="5" stopIfTrue="1">
      <formula>"Sat"</formula>
    </cfRule>
    <cfRule type="cellIs" priority="4" operator="equal" dxfId="0" stopIfTrue="1">
      <formula>"Sun"</formula>
    </cfRule>
  </conditionalFormatting>
  <conditionalFormatting sqref="J38:BS38">
    <cfRule type="cellIs" priority="28" operator="equal" dxfId="0" stopIfTrue="1">
      <formula>"Sun"</formula>
    </cfRule>
    <cfRule type="cellIs" priority="27" operator="equal" dxfId="5" stopIfTrue="1">
      <formula>"Sat"</formula>
    </cfRule>
  </conditionalFormatting>
  <conditionalFormatting sqref="J40:BS44 K39:BS39">
    <cfRule type="cellIs" priority="196" operator="equal" dxfId="0" stopIfTrue="1">
      <formula>"Sun"</formula>
    </cfRule>
  </conditionalFormatting>
  <conditionalFormatting sqref="J40:BS41 K39:BS39 BM37:BS37">
    <cfRule type="cellIs" priority="183" operator="equal" dxfId="5" stopIfTrue="1">
      <formula>"Sat"</formula>
    </cfRule>
  </conditionalFormatting>
  <conditionalFormatting sqref="AP23:BR26">
    <cfRule type="cellIs" priority="10" operator="equal" dxfId="0" stopIfTrue="1">
      <formula>"Sun"</formula>
    </cfRule>
    <cfRule type="cellIs" priority="9" operator="equal" dxfId="5" stopIfTrue="1">
      <formula>"Sat"</formula>
    </cfRule>
  </conditionalFormatting>
  <conditionalFormatting sqref="AP22:BS22">
    <cfRule type="cellIs" priority="191" operator="equal" dxfId="5" stopIfTrue="1">
      <formula>"Sat"</formula>
    </cfRule>
    <cfRule type="cellIs" priority="192" operator="equal" dxfId="0" stopIfTrue="1">
      <formula>"Sun"</formula>
    </cfRule>
  </conditionalFormatting>
  <conditionalFormatting sqref="BB39:BB40">
    <cfRule type="cellIs" priority="65" operator="equal" dxfId="0" stopIfTrue="1">
      <formula>"Sun"</formula>
    </cfRule>
  </conditionalFormatting>
  <conditionalFormatting sqref="BD37">
    <cfRule type="cellIs" priority="63" operator="equal" dxfId="0" stopIfTrue="1">
      <formula>"Sun"</formula>
    </cfRule>
  </conditionalFormatting>
  <conditionalFormatting sqref="BL36:BL37">
    <cfRule type="cellIs" priority="61" operator="equal" dxfId="5" stopIfTrue="1">
      <formula>"Sat"</formula>
    </cfRule>
    <cfRule type="cellIs" priority="62" operator="equal" dxfId="0" stopIfTrue="1">
      <formula>"Sun"</formula>
    </cfRule>
  </conditionalFormatting>
  <conditionalFormatting sqref="BM36:BR36">
    <cfRule type="cellIs" priority="70" operator="equal" dxfId="0" stopIfTrue="1">
      <formula>"Sun"</formula>
    </cfRule>
    <cfRule type="cellIs" priority="69" operator="equal" dxfId="5" stopIfTrue="1">
      <formula>"Sat"</formula>
    </cfRule>
  </conditionalFormatting>
  <conditionalFormatting sqref="BM37:BS37">
    <cfRule type="cellIs" priority="184" operator="equal" dxfId="0" stopIfTrue="1">
      <formula>"Sun"</formula>
    </cfRule>
  </conditionalFormatting>
  <conditionalFormatting sqref="BS23:BS36">
    <cfRule type="cellIs" priority="205" operator="equal" dxfId="5" stopIfTrue="1">
      <formula>"Sat"</formula>
    </cfRule>
    <cfRule type="cellIs" priority="206"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7.xml><?xml version="1.0" encoding="utf-8"?>
<worksheet xmlns="http://schemas.openxmlformats.org/spreadsheetml/2006/main">
  <sheetPr>
    <tabColor indexed="43"/>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Z28" sqref="Z28"/>
    </sheetView>
  </sheetViews>
  <sheetFormatPr baseColWidth="8" defaultColWidth="8.90625" defaultRowHeight="13.5"/>
  <cols>
    <col width="1.08984375" customWidth="1" style="1" min="1" max="1"/>
    <col width="27" customWidth="1" style="1" min="2" max="2"/>
    <col width="13.08984375" customWidth="1" style="1" min="3" max="3"/>
    <col width="14" bestFit="1" customWidth="1" style="1" min="4" max="4"/>
    <col width="1.6328125" customWidth="1" style="1" min="5" max="5"/>
    <col width="29" customWidth="1" style="1" min="6" max="6"/>
    <col width="10.08984375" bestFit="1" customWidth="1" style="1" min="7" max="7"/>
    <col width="1.6328125" customWidth="1" style="1" min="8" max="8"/>
    <col width="25" customWidth="1" style="1" min="9" max="9"/>
    <col width="10.08984375" customWidth="1" style="1" min="10" max="10"/>
    <col width="11" bestFit="1" customWidth="1" style="1" min="11" max="11"/>
    <col width="10.08984375" customWidth="1" style="1" min="12" max="12"/>
    <col width="11" bestFit="1"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1.90625"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0"/>
    <col width="13.08984375" bestFit="1" customWidth="1" style="1" min="31" max="31"/>
    <col width="8.90625" customWidth="1" style="1" min="32" max="34"/>
    <col width="11" bestFit="1" customWidth="1" style="1" min="35" max="35"/>
    <col width="8.90625" customWidth="1" style="1" min="36" max="36"/>
    <col width="11" bestFit="1" customWidth="1" style="1" min="37" max="37"/>
    <col width="8.90625" customWidth="1" style="1" min="38" max="52"/>
    <col width="12.08984375" bestFit="1" customWidth="1" style="1" min="53" max="53"/>
    <col width="8.90625" customWidth="1" style="1" min="54" max="56"/>
    <col width="11" bestFit="1" customWidth="1" style="1" min="57" max="57"/>
    <col width="8.90625" customWidth="1" style="1" min="58" max="58"/>
    <col width="11" bestFit="1" customWidth="1" style="1" min="59" max="59"/>
    <col width="8.90625" customWidth="1" style="1" min="60" max="62"/>
    <col width="11" bestFit="1" customWidth="1" style="1" min="63" max="63"/>
    <col width="8.90625" customWidth="1" style="1" min="64" max="64"/>
    <col width="9.36328125" customWidth="1" style="1" min="65" max="65"/>
    <col width="8.90625" customWidth="1" style="1" min="66" max="66"/>
    <col width="12" bestFit="1" customWidth="1" style="1" min="67" max="67"/>
    <col width="8.90625" customWidth="1" style="1" min="68" max="68"/>
    <col width="12.6328125" bestFit="1" customWidth="1" style="1" min="69" max="69"/>
    <col width="10.08984375"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6</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t="n"/>
      <c r="BS2" s="96" t="n"/>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411" t="n"/>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n"/>
      <c r="BS5" s="107" t="n"/>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115"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174"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0"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181"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171">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7" t="n"/>
      <c r="S20" s="376" t="n"/>
      <c r="T20" s="377"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412"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F18+May!F22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9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71"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71" t="n"/>
      <c r="BM37" s="370" t="n"/>
      <c r="BN37" s="371" t="n"/>
      <c r="BO37" s="370" t="n"/>
      <c r="BP37" s="371" t="n"/>
      <c r="BQ37" s="373" t="n"/>
      <c r="BR37" s="371" t="n"/>
      <c r="BS37" s="373" t="n"/>
    </row>
    <row r="38" ht="17.25" customFormat="1" customHeight="1" s="4" thickBot="1">
      <c r="B38" s="153" t="n"/>
      <c r="C38" s="158" t="n"/>
      <c r="D38" s="149" t="n"/>
      <c r="F38" s="328" t="n"/>
      <c r="G38" s="329" t="n"/>
      <c r="I38" s="141" t="n"/>
      <c r="J38" s="370" t="n"/>
      <c r="K38" s="371"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D44" s="166" t="n"/>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6" ht="14" customHeight="1" s="304">
      <c r="B46" s="176" t="n"/>
      <c r="C46" s="176" t="n"/>
      <c r="D46" s="176" t="n"/>
      <c r="E46" s="176" t="n"/>
      <c r="F46" s="176" t="n"/>
    </row>
    <row r="47" ht="40" customHeight="1" s="304">
      <c r="B47" s="451" t="inlineStr">
        <is>
          <t>Transactions this month
One row per posted line. These rows are not included in the totals above. Payments are not listed.</t>
        </is>
      </c>
    </row>
    <row r="48" ht="32" customHeight="1" s="304">
      <c r="B48" s="452" t="inlineStr">
        <is>
          <t>Card</t>
        </is>
      </c>
      <c r="C48" s="452" t="inlineStr">
        <is>
          <t>Trans date</t>
        </is>
      </c>
      <c r="D48" s="452" t="inlineStr">
        <is>
          <t>Post date</t>
        </is>
      </c>
      <c r="E48" s="176" t="n"/>
      <c r="F48" s="452"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176" t="n"/>
      <c r="C49" s="176" t="n"/>
      <c r="D49" s="176" t="n"/>
      <c r="E49" s="176" t="n"/>
      <c r="F49" s="176" t="n"/>
      <c r="G49" s="461" t="n"/>
    </row>
    <row r="50" ht="14" customHeight="1" s="304">
      <c r="B50" s="45" t="n"/>
      <c r="C50" s="47" t="n"/>
      <c r="D50" s="167" t="n"/>
      <c r="E50" s="176" t="n"/>
      <c r="F50" s="176" t="n"/>
      <c r="G50" s="461" t="n"/>
    </row>
    <row r="51" ht="14" customHeight="1" s="304">
      <c r="B51" s="45" t="n"/>
      <c r="C51" s="47" t="n"/>
      <c r="D51" s="167" t="n"/>
      <c r="E51" s="48" t="n"/>
      <c r="F51" s="62" t="n"/>
      <c r="G51" s="461" t="n"/>
    </row>
    <row r="52" ht="14" customHeight="1" s="304">
      <c r="B52" s="45" t="n"/>
      <c r="C52" s="47" t="n"/>
      <c r="D52" s="167" t="n"/>
      <c r="E52" s="48" t="n"/>
      <c r="F52" s="62" t="n"/>
      <c r="G52" s="461" t="n"/>
    </row>
    <row r="53" ht="14" customHeight="1" s="304">
      <c r="B53" s="45" t="n"/>
      <c r="C53" s="47" t="n"/>
      <c r="D53" s="167" t="n"/>
      <c r="E53" s="48" t="n"/>
      <c r="F53" s="62" t="n"/>
      <c r="G53" s="461" t="n"/>
    </row>
    <row r="54" ht="14" customHeight="1" s="304">
      <c r="B54" s="45" t="n"/>
      <c r="C54" s="47" t="n"/>
      <c r="D54" s="167" t="n"/>
      <c r="E54" s="48" t="n"/>
      <c r="F54" s="62" t="n"/>
      <c r="G54" s="461" t="n"/>
    </row>
    <row r="55" ht="14" customHeight="1" s="304">
      <c r="B55" s="45" t="n"/>
      <c r="C55" s="47" t="n"/>
      <c r="D55" s="167" t="n"/>
      <c r="E55" s="48" t="n"/>
      <c r="F55" s="62" t="n"/>
      <c r="G55" s="461" t="n"/>
    </row>
    <row r="56" ht="14" customHeight="1" s="304">
      <c r="B56" s="45" t="n"/>
      <c r="C56" s="47" t="n"/>
      <c r="D56" s="167" t="n"/>
      <c r="E56" s="48" t="n"/>
      <c r="F56" s="62" t="n"/>
      <c r="G56" s="461" t="n"/>
    </row>
    <row r="57" ht="14" customHeight="1" s="304">
      <c r="B57" s="45" t="n"/>
      <c r="C57" s="47" t="n"/>
      <c r="D57" s="167" t="n"/>
      <c r="E57" s="48" t="n"/>
      <c r="G57" s="461" t="n"/>
    </row>
    <row r="58" ht="14" customHeight="1" s="304">
      <c r="B58" s="45" t="n"/>
      <c r="C58" s="47" t="n"/>
      <c r="D58" s="167" t="n"/>
      <c r="G58" s="461" t="n"/>
    </row>
    <row r="59" ht="14" customHeight="1" s="304">
      <c r="B59" s="62" t="n"/>
      <c r="C59" s="62" t="n"/>
      <c r="D59" s="168" t="n"/>
      <c r="G59" s="461" t="n"/>
    </row>
    <row r="60" ht="14" customHeight="1" s="304">
      <c r="C60" s="413" t="n"/>
      <c r="D60" s="166" t="n"/>
      <c r="G60" s="461" t="n"/>
    </row>
    <row r="61" ht="14" customHeight="1" s="304">
      <c r="C61" s="413" t="n"/>
      <c r="D61" s="166" t="n"/>
      <c r="G61" s="461" t="n"/>
    </row>
    <row r="62" ht="14" customHeight="1" s="304">
      <c r="C62" s="413" t="n"/>
      <c r="D62" s="166" t="n"/>
      <c r="G62" s="461" t="n"/>
    </row>
    <row r="63" ht="14" customHeight="1" s="304">
      <c r="C63" s="413" t="n"/>
      <c r="D63" s="166" t="n"/>
      <c r="G63" s="461" t="n"/>
    </row>
    <row r="64" ht="14" customHeight="1" s="304">
      <c r="C64" s="413" t="n"/>
      <c r="D64" s="166" t="n"/>
      <c r="G64" s="461" t="n"/>
    </row>
    <row r="65" ht="14" customHeight="1" s="304">
      <c r="C65" s="413" t="n"/>
      <c r="D65" s="166" t="n"/>
      <c r="G65" s="461" t="n"/>
    </row>
    <row r="66" ht="14" customHeight="1" s="304">
      <c r="C66" s="413" t="n"/>
      <c r="G66" s="461" t="n"/>
    </row>
    <row r="67" ht="14" customHeight="1" s="304">
      <c r="C67" s="413" t="n"/>
      <c r="D67" s="166" t="n"/>
      <c r="G67" s="461" t="n"/>
    </row>
    <row r="68" ht="14" customHeight="1" s="304">
      <c r="C68" s="413" t="n"/>
      <c r="D68" s="166" t="n"/>
      <c r="G68" s="461" t="n"/>
    </row>
    <row r="69" ht="14" customHeight="1" s="304">
      <c r="C69" s="413" t="n"/>
      <c r="D69" s="166" t="n"/>
      <c r="G69" s="461" t="n"/>
    </row>
    <row r="70" ht="14" customHeight="1" s="304">
      <c r="C70" s="413" t="n"/>
      <c r="D70" s="166" t="n"/>
      <c r="G70" s="461" t="n"/>
    </row>
    <row r="71" ht="14" customHeight="1" s="304">
      <c r="C71" s="413" t="n"/>
      <c r="D71" s="166" t="n"/>
      <c r="G71" s="461" t="n"/>
    </row>
    <row r="72" ht="14" customHeight="1" s="304">
      <c r="C72" s="413" t="n"/>
      <c r="D72" s="166" t="n"/>
      <c r="G72" s="461" t="n"/>
    </row>
    <row r="73" ht="14" customHeight="1" s="304">
      <c r="C73" s="413" t="n"/>
      <c r="D73" s="166" t="n"/>
      <c r="G73" s="461" t="n"/>
    </row>
    <row r="74" ht="14" customHeight="1" s="304">
      <c r="C74" s="413" t="n"/>
      <c r="D74" s="166" t="n"/>
      <c r="G74" s="461" t="n"/>
    </row>
    <row r="75" ht="14" customHeight="1" s="304">
      <c r="C75" s="413" t="n"/>
      <c r="D75" s="166" t="n"/>
      <c r="G75" s="461" t="n"/>
    </row>
    <row r="76" ht="14" customHeight="1" s="304">
      <c r="C76" s="413" t="n"/>
      <c r="D76" s="166" t="n"/>
      <c r="G76" s="461" t="n"/>
    </row>
    <row r="77" ht="14" customHeight="1" s="304">
      <c r="C77" s="413" t="n"/>
      <c r="D77" s="166" t="n"/>
      <c r="G77" s="461" t="n"/>
    </row>
    <row r="78" ht="14" customHeight="1" s="304">
      <c r="C78" s="413" t="n"/>
      <c r="D78" s="166" t="n"/>
      <c r="G78" s="461" t="n"/>
    </row>
    <row r="79" ht="14" customHeight="1" s="304">
      <c r="C79" s="413" t="n"/>
      <c r="D79" s="166" t="n"/>
      <c r="G79" s="461" t="n"/>
    </row>
    <row r="80" ht="14" customHeight="1" s="304">
      <c r="C80" s="413" t="n"/>
      <c r="D80" s="166" t="n"/>
      <c r="G80" s="461" t="n"/>
    </row>
    <row r="81" ht="14" customHeight="1" s="304">
      <c r="C81" s="413" t="n"/>
      <c r="D81" s="167" t="n"/>
      <c r="G81" s="461" t="n"/>
    </row>
    <row r="82" ht="14" customHeight="1" s="304">
      <c r="C82" s="413" t="n"/>
      <c r="D82" s="166" t="n"/>
      <c r="G82" s="461" t="n"/>
    </row>
    <row r="83" ht="14" customHeight="1" s="304">
      <c r="C83" s="413" t="n"/>
      <c r="D83" s="166" t="n"/>
      <c r="G83" s="461" t="n"/>
    </row>
    <row r="84" ht="14" customHeight="1" s="304">
      <c r="C84" s="413" t="n"/>
      <c r="D84" s="166" t="n"/>
      <c r="G84" s="461" t="n"/>
    </row>
    <row r="85" ht="14" customHeight="1" s="304">
      <c r="C85" s="413" t="n"/>
      <c r="D85" s="166" t="n"/>
      <c r="G85" s="461" t="n"/>
    </row>
    <row r="86" ht="14" customHeight="1" s="304">
      <c r="C86" s="413" t="n"/>
      <c r="D86" s="166" t="n"/>
      <c r="G86" s="461" t="n"/>
    </row>
    <row r="87" ht="14" customHeight="1" s="304">
      <c r="C87" s="413" t="n"/>
      <c r="D87" s="166" t="n"/>
      <c r="G87" s="461" t="n"/>
    </row>
    <row r="88" ht="14" customHeight="1" s="304">
      <c r="C88" s="413" t="n"/>
      <c r="D88" s="166" t="n"/>
      <c r="G88" s="461" t="n"/>
    </row>
    <row r="89" ht="15" customHeight="1" s="304">
      <c r="B89" s="184" t="n"/>
      <c r="C89" s="184" t="n"/>
      <c r="D89" s="184" t="n"/>
      <c r="E89" s="414" t="n"/>
      <c r="F89" s="184" t="n"/>
      <c r="G89" s="461" t="n"/>
    </row>
    <row r="90" ht="15" customHeight="1" s="304">
      <c r="B90" s="186" t="n"/>
      <c r="C90" s="186" t="n"/>
      <c r="D90" s="186" t="n"/>
      <c r="E90" s="415" t="n"/>
      <c r="F90" s="186" t="n"/>
      <c r="G90" s="461" t="n"/>
    </row>
    <row r="91" ht="15" customHeight="1" s="304">
      <c r="B91" s="416" t="n"/>
      <c r="C91" s="186" t="n"/>
      <c r="D91" s="186" t="n"/>
      <c r="E91" s="415" t="n"/>
      <c r="F91" s="186" t="n"/>
      <c r="G91" s="461" t="n"/>
    </row>
    <row r="92" ht="15" customHeight="1" s="304">
      <c r="B92" s="416" t="n"/>
      <c r="C92" s="186" t="n"/>
      <c r="D92" s="186" t="n"/>
      <c r="E92" s="415" t="n"/>
      <c r="F92" s="186" t="n"/>
      <c r="G92" s="461" t="n"/>
    </row>
    <row r="93" ht="15" customHeight="1" s="304">
      <c r="B93" s="416" t="n"/>
      <c r="C93" s="186" t="n"/>
      <c r="D93" s="186" t="n"/>
      <c r="E93" s="415" t="n"/>
      <c r="F93" s="186" t="n"/>
      <c r="G93" s="461" t="n"/>
    </row>
    <row r="94" ht="15" customHeight="1" s="304">
      <c r="B94" s="416" t="n"/>
      <c r="C94" s="186" t="n"/>
      <c r="D94" s="186" t="n"/>
      <c r="E94" s="415" t="n"/>
      <c r="F94" s="186" t="n"/>
      <c r="G94" s="461" t="n"/>
    </row>
    <row r="95" ht="15" customHeight="1" s="304">
      <c r="B95" s="416" t="n"/>
      <c r="C95" s="186" t="n"/>
      <c r="D95" s="186" t="n"/>
      <c r="E95" s="415" t="n"/>
      <c r="F95" s="186" t="n"/>
      <c r="G95" s="461" t="n"/>
    </row>
    <row r="96" ht="15" customHeight="1" s="304">
      <c r="B96" s="416" t="n"/>
      <c r="C96" s="186" t="n"/>
      <c r="D96" s="186" t="n"/>
      <c r="E96" s="415" t="n"/>
      <c r="F96" s="186" t="n"/>
      <c r="G96" s="461" t="n"/>
    </row>
    <row r="97" ht="15" customHeight="1" s="304">
      <c r="B97" s="416" t="n"/>
      <c r="C97" s="186" t="n"/>
      <c r="D97" s="186" t="n"/>
      <c r="E97" s="415" t="n"/>
      <c r="F97" s="186" t="n"/>
      <c r="G97" s="461" t="n"/>
    </row>
    <row r="98" ht="15" customHeight="1" s="304">
      <c r="B98" s="416" t="n"/>
      <c r="C98" s="186" t="n"/>
      <c r="D98" s="186" t="n"/>
      <c r="E98" s="415" t="n"/>
      <c r="F98" s="186" t="n"/>
      <c r="G98" s="461" t="n"/>
    </row>
    <row r="99" ht="15" customHeight="1" s="304">
      <c r="B99" s="416" t="n"/>
      <c r="C99" s="186" t="n"/>
      <c r="D99" s="186" t="n"/>
      <c r="E99" s="415" t="n"/>
      <c r="F99" s="186" t="n"/>
      <c r="G99" s="461" t="n"/>
    </row>
    <row r="100" ht="15" customHeight="1" s="304">
      <c r="B100" s="416" t="n"/>
      <c r="C100" s="186" t="n"/>
      <c r="D100" s="186" t="n"/>
      <c r="E100" s="415" t="n"/>
      <c r="F100" s="186" t="n"/>
      <c r="G100" s="461" t="n"/>
    </row>
    <row r="101" ht="15" customHeight="1" s="304">
      <c r="B101" s="416" t="n"/>
      <c r="C101" s="186" t="n"/>
      <c r="D101" s="186" t="n"/>
      <c r="E101" s="415" t="n"/>
      <c r="F101" s="186" t="n"/>
      <c r="G101" s="461" t="n"/>
    </row>
    <row r="102" ht="15" customHeight="1" s="304">
      <c r="B102" s="416" t="n"/>
      <c r="C102" s="186" t="n"/>
      <c r="D102" s="186" t="n"/>
      <c r="E102" s="415" t="n"/>
      <c r="F102" s="186" t="n"/>
      <c r="G102" s="461" t="n"/>
    </row>
    <row r="103" ht="15" customHeight="1" s="304">
      <c r="B103" s="416" t="n"/>
      <c r="C103" s="186" t="n"/>
      <c r="D103" s="186" t="n"/>
      <c r="E103" s="415" t="n"/>
      <c r="F103" s="186" t="n"/>
      <c r="G103" s="461" t="n"/>
    </row>
    <row r="104" ht="15" customHeight="1" s="304">
      <c r="B104" s="416" t="n"/>
      <c r="C104" s="186" t="n"/>
      <c r="D104" s="186" t="n"/>
      <c r="E104" s="415" t="n"/>
      <c r="F104" s="186" t="n"/>
      <c r="G104" s="461" t="n"/>
    </row>
    <row r="105" ht="15" customHeight="1" s="304">
      <c r="B105" s="416" t="n"/>
      <c r="C105" s="186" t="n"/>
      <c r="D105" s="186" t="n"/>
      <c r="E105" s="415" t="n"/>
      <c r="F105" s="186" t="n"/>
      <c r="G105" s="461" t="n"/>
    </row>
    <row r="106" ht="15" customHeight="1" s="304">
      <c r="B106" s="416" t="n"/>
      <c r="C106" s="186" t="n"/>
      <c r="D106" s="186" t="n"/>
      <c r="E106" s="415" t="n"/>
      <c r="F106" s="186" t="n"/>
      <c r="G106" s="461" t="n"/>
    </row>
    <row r="107" ht="15" customHeight="1" s="304">
      <c r="B107" s="416" t="n"/>
      <c r="C107" s="186" t="n"/>
      <c r="D107" s="186" t="n"/>
      <c r="E107" s="415" t="n"/>
      <c r="F107" s="186" t="n"/>
      <c r="G107" s="461" t="n"/>
    </row>
    <row r="108" ht="15" customHeight="1" s="304">
      <c r="B108" s="416" t="n"/>
      <c r="C108" s="186" t="n"/>
      <c r="D108" s="186" t="n"/>
      <c r="E108" s="415" t="n"/>
      <c r="F108" s="186" t="n"/>
      <c r="G108" s="461" t="n"/>
    </row>
    <row r="109" ht="15" customHeight="1" s="304">
      <c r="B109" s="416" t="n"/>
      <c r="C109" s="186" t="n"/>
      <c r="D109" s="186" t="n"/>
      <c r="E109" s="415" t="n"/>
      <c r="F109" s="186" t="n"/>
      <c r="G109" s="461" t="n"/>
    </row>
    <row r="110" ht="15" customHeight="1" s="304">
      <c r="B110" s="416" t="n"/>
      <c r="C110" s="186" t="n"/>
      <c r="D110" s="186" t="n"/>
      <c r="E110" s="415" t="n"/>
      <c r="F110" s="186" t="n"/>
      <c r="G110" s="461" t="n"/>
    </row>
    <row r="111" ht="15" customHeight="1" s="304">
      <c r="B111" s="416" t="n"/>
      <c r="C111" s="186" t="n"/>
      <c r="D111" s="186" t="n"/>
      <c r="E111" s="415" t="n"/>
      <c r="F111" s="186" t="n"/>
      <c r="G111" s="461" t="n"/>
    </row>
    <row r="112" ht="15" customHeight="1" s="304">
      <c r="B112" s="416" t="n"/>
      <c r="C112" s="186" t="n"/>
      <c r="D112" s="186" t="n"/>
      <c r="E112" s="415" t="n"/>
      <c r="F112" s="186" t="n"/>
      <c r="G112" s="461" t="n"/>
    </row>
    <row r="113" ht="15" customHeight="1" s="304">
      <c r="B113" s="416" t="n"/>
      <c r="C113" s="186" t="n"/>
      <c r="D113" s="186" t="n"/>
      <c r="E113" s="415" t="n"/>
      <c r="F113" s="186" t="n"/>
      <c r="G113" s="461" t="n"/>
    </row>
    <row r="114" ht="15" customHeight="1" s="304">
      <c r="B114" s="416" t="n"/>
      <c r="C114" s="186" t="n"/>
      <c r="D114" s="186" t="n"/>
      <c r="E114" s="415" t="n"/>
      <c r="F114" s="186" t="n"/>
      <c r="G114" s="461" t="n"/>
    </row>
    <row r="115" ht="15" customHeight="1" s="304">
      <c r="B115" s="416" t="n"/>
      <c r="C115" s="186" t="n"/>
      <c r="D115" s="186" t="n"/>
      <c r="E115" s="415" t="n"/>
      <c r="F115" s="186" t="n"/>
      <c r="G115" s="461" t="n"/>
    </row>
    <row r="116" ht="15" customHeight="1" s="304">
      <c r="B116" s="186" t="n"/>
      <c r="C116" s="184" t="n"/>
      <c r="D116" s="184" t="n"/>
      <c r="E116" s="414" t="n"/>
      <c r="F116" s="186" t="n"/>
      <c r="G116" s="461" t="n"/>
    </row>
    <row r="117" ht="15" customHeight="1" s="304">
      <c r="B117" s="186" t="n"/>
      <c r="C117" s="189" t="n"/>
      <c r="D117" s="184" t="n"/>
      <c r="E117" s="414" t="n"/>
      <c r="F117" s="186" t="n"/>
      <c r="G117" s="461" t="n"/>
    </row>
    <row r="118" ht="15" customHeight="1" s="304">
      <c r="F118" s="186" t="n"/>
      <c r="G118" s="461" t="n"/>
    </row>
    <row r="119" ht="15" customHeight="1" s="304">
      <c r="B119" s="186" t="n"/>
      <c r="C119" s="186" t="n"/>
      <c r="D119" s="186" t="n"/>
      <c r="E119" s="415" t="n"/>
      <c r="F119" s="186" t="n"/>
      <c r="G119" s="461" t="n"/>
    </row>
    <row r="120" ht="15" customHeight="1" s="304">
      <c r="B120" s="186" t="n"/>
      <c r="C120" s="186" t="n"/>
      <c r="D120" s="186" t="n"/>
      <c r="E120" s="415" t="n"/>
      <c r="F120" s="186" t="n"/>
      <c r="G120" s="461" t="n"/>
    </row>
    <row r="121" ht="15" customHeight="1" s="304">
      <c r="F121" s="186" t="n"/>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AX4:AY4"/>
    <mergeCell ref="I30:I31"/>
    <mergeCell ref="AF3:AG3"/>
    <mergeCell ref="AD3:AE3"/>
    <mergeCell ref="F22:G23"/>
    <mergeCell ref="AH3:AI3"/>
    <mergeCell ref="I17:I19"/>
    <mergeCell ref="BH4:BI4"/>
    <mergeCell ref="AN3:AO3"/>
    <mergeCell ref="BJ4:BK4"/>
    <mergeCell ref="AP3:AQ3"/>
    <mergeCell ref="BB3:BC3"/>
    <mergeCell ref="B47:I47"/>
    <mergeCell ref="B150:I150"/>
    <mergeCell ref="AB4:AC4"/>
    <mergeCell ref="R4:S4"/>
    <mergeCell ref="T4:U4"/>
    <mergeCell ref="AT3:AU3"/>
    <mergeCell ref="BD3:BE3"/>
    <mergeCell ref="BF3:BG3"/>
    <mergeCell ref="L3:M3"/>
    <mergeCell ref="N3:O3"/>
    <mergeCell ref="BP4:BQ4"/>
    <mergeCell ref="AH4:AI4"/>
    <mergeCell ref="AN4:AO4"/>
    <mergeCell ref="BH3:BI3"/>
    <mergeCell ref="BN3:BO3"/>
    <mergeCell ref="BP3:BQ3"/>
    <mergeCell ref="AV3:AW3"/>
    <mergeCell ref="BR3:BS3"/>
    <mergeCell ref="AP4:AQ4"/>
    <mergeCell ref="AB3:AC3"/>
    <mergeCell ref="AR4:AS4"/>
    <mergeCell ref="X3:Y3"/>
    <mergeCell ref="I22:I27"/>
    <mergeCell ref="AT4:AU4"/>
    <mergeCell ref="AZ4:BA4"/>
    <mergeCell ref="Z3:AA3"/>
    <mergeCell ref="AV4:AW4"/>
    <mergeCell ref="BB4:BC4"/>
    <mergeCell ref="J4:K4"/>
    <mergeCell ref="BD4:BE4"/>
    <mergeCell ref="L4:M4"/>
    <mergeCell ref="AJ3:AK3"/>
    <mergeCell ref="AL3:AM3"/>
    <mergeCell ref="BL4:BM4"/>
    <mergeCell ref="BF4:BG4"/>
    <mergeCell ref="BN4:BO4"/>
    <mergeCell ref="AF4:AG4"/>
    <mergeCell ref="F26:G39"/>
    <mergeCell ref="R3:S3"/>
    <mergeCell ref="I6:I16"/>
    <mergeCell ref="P4:Q4"/>
    <mergeCell ref="X4:Y4"/>
    <mergeCell ref="J3:K3"/>
    <mergeCell ref="BR4:BS4"/>
    <mergeCell ref="Z4:AA4"/>
    <mergeCell ref="AJ4:AK4"/>
    <mergeCell ref="BJ3:BK3"/>
    <mergeCell ref="AL4:AM4"/>
    <mergeCell ref="BL3:BM3"/>
    <mergeCell ref="AX3:AY3"/>
    <mergeCell ref="AZ3:BA3"/>
    <mergeCell ref="P3:Q3"/>
    <mergeCell ref="F18:G19"/>
    <mergeCell ref="AR3:AS3"/>
    <mergeCell ref="V4:W4"/>
    <mergeCell ref="T3:U3"/>
    <mergeCell ref="AD4:AE4"/>
    <mergeCell ref="V3:W3"/>
    <mergeCell ref="N4:O4"/>
  </mergeCells>
  <conditionalFormatting sqref="A1:H2 A3:I4 A5:A44 A45:XFD45 A46:A88 A89:XFD65541 B5:H5 B35:E44 E19:E21 E23:E24 E25:F26 E27:E34 E58:XFD67 E69:F74 E75:XFD88 F6:G14 F17:G17 F20:G21 F40:G44 F57:XFD57 G46:XFD56 G68:XFD74 H6:H44 I2 I5:I6 I9 I42:I44 J5:BS16 BT1:IV44">
    <cfRule type="cellIs" priority="699" operator="equal" dxfId="0" stopIfTrue="1">
      <formula>"Sun"</formula>
    </cfRule>
  </conditionalFormatting>
  <conditionalFormatting sqref="A1:H2 A3:I4 A5:A44 A45:XFD45 A46:A88 A89:XFD65541 B5:H5 B35:E44 E19:E21 E23:E24 E25:F26 E27:E34 E58:XFD67 E69:F74 E75:XFD88 F6:G14 F17:G17 F20:G21 F40:G44 F57:XFD57 G46:XFD56 G68:XFD74 H6:H44 I2 I5:I6 I9 J5:BS16 BT1:IV44">
    <cfRule type="cellIs" priority="698" operator="equal" dxfId="5" stopIfTrue="1">
      <formula>"Sat"</formula>
    </cfRule>
  </conditionalFormatting>
  <conditionalFormatting sqref="B18:B34">
    <cfRule type="cellIs" priority="443" operator="equal" dxfId="0" stopIfTrue="1">
      <formula>"Sun"</formula>
    </cfRule>
    <cfRule type="cellIs" priority="442" operator="equal" dxfId="5" stopIfTrue="1">
      <formula>"Sat"</formula>
    </cfRule>
  </conditionalFormatting>
  <conditionalFormatting sqref="B60:B65">
    <cfRule type="cellIs" priority="83" operator="equal" dxfId="0" stopIfTrue="1">
      <formula>"Sun"</formula>
    </cfRule>
    <cfRule type="cellIs" priority="82" operator="equal" dxfId="5" stopIfTrue="1">
      <formula>"Sat"</formula>
    </cfRule>
  </conditionalFormatting>
  <conditionalFormatting sqref="B6:E17">
    <cfRule type="cellIs" priority="541" operator="equal" dxfId="0" stopIfTrue="1">
      <formula>"Sun"</formula>
    </cfRule>
    <cfRule type="cellIs" priority="540" operator="equal" dxfId="5" stopIfTrue="1">
      <formula>"Sat"</formula>
    </cfRule>
  </conditionalFormatting>
  <conditionalFormatting sqref="B46:F49 E50:F50">
    <cfRule type="cellIs" priority="485" operator="equal" dxfId="0" stopIfTrue="1">
      <formula>"Sun"</formula>
    </cfRule>
    <cfRule type="cellIs" priority="484" operator="equal" dxfId="5" stopIfTrue="1">
      <formula>"Sat"</formula>
    </cfRule>
  </conditionalFormatting>
  <conditionalFormatting sqref="C27">
    <cfRule type="cellIs" priority="37" operator="equal" dxfId="5" stopIfTrue="1">
      <formula>"Sat"</formula>
    </cfRule>
    <cfRule type="cellIs" priority="38" operator="equal" dxfId="0" stopIfTrue="1">
      <formula>"Sun"</formula>
    </cfRule>
  </conditionalFormatting>
  <conditionalFormatting sqref="C29:C30">
    <cfRule type="cellIs" priority="11" operator="equal" dxfId="5" stopIfTrue="1">
      <formula>"Sat"</formula>
    </cfRule>
    <cfRule type="cellIs" priority="12" operator="equal" dxfId="0" stopIfTrue="1">
      <formula>"Sun"</formula>
    </cfRule>
  </conditionalFormatting>
  <conditionalFormatting sqref="C19:D19">
    <cfRule type="cellIs" priority="47" operator="equal" dxfId="5" stopIfTrue="1">
      <formula>"Sat"</formula>
    </cfRule>
    <cfRule type="cellIs" priority="48" operator="equal" dxfId="0" stopIfTrue="1">
      <formula>"Sun"</formula>
    </cfRule>
  </conditionalFormatting>
  <conditionalFormatting sqref="C21:D21">
    <cfRule type="cellIs" priority="9" operator="equal" dxfId="5" stopIfTrue="1">
      <formula>"Sat"</formula>
    </cfRule>
    <cfRule type="cellIs" priority="10" operator="equal" dxfId="0" stopIfTrue="1">
      <formula>"Sun"</formula>
    </cfRule>
  </conditionalFormatting>
  <conditionalFormatting sqref="C24:D24">
    <cfRule type="cellIs" priority="35" operator="equal" dxfId="5" stopIfTrue="1">
      <formula>"Sat"</formula>
    </cfRule>
    <cfRule type="cellIs" priority="36" operator="equal" dxfId="0" stopIfTrue="1">
      <formula>"Sun"</formula>
    </cfRule>
  </conditionalFormatting>
  <conditionalFormatting sqref="C26:D26">
    <cfRule type="cellIs" priority="49" operator="equal" dxfId="5" stopIfTrue="1">
      <formula>"Sat"</formula>
    </cfRule>
    <cfRule type="cellIs" priority="50" operator="equal" dxfId="0" stopIfTrue="1">
      <formula>"Sun"</formula>
    </cfRule>
  </conditionalFormatting>
  <conditionalFormatting sqref="C31:D34">
    <cfRule type="cellIs" priority="51" operator="equal" dxfId="5" stopIfTrue="1">
      <formula>"Sat"</formula>
    </cfRule>
    <cfRule type="cellIs" priority="52" operator="equal" dxfId="0" stopIfTrue="1">
      <formula>"Sun"</formula>
    </cfRule>
  </conditionalFormatting>
  <conditionalFormatting sqref="C18:F18">
    <cfRule type="cellIs" priority="29" operator="equal" dxfId="5" stopIfTrue="1">
      <formula>"Sat"</formula>
    </cfRule>
    <cfRule type="cellIs" priority="30" operator="equal" dxfId="0" stopIfTrue="1">
      <formula>"Sun"</formula>
    </cfRule>
  </conditionalFormatting>
  <conditionalFormatting sqref="C22:F22">
    <cfRule type="cellIs" priority="39" operator="equal" dxfId="5" stopIfTrue="1">
      <formula>"Sat"</formula>
    </cfRule>
    <cfRule type="cellIs" priority="40" operator="equal" dxfId="0" stopIfTrue="1">
      <formula>"Sun"</formula>
    </cfRule>
  </conditionalFormatting>
  <conditionalFormatting sqref="D27:D28">
    <cfRule type="cellIs" priority="53" operator="equal" dxfId="5" stopIfTrue="1">
      <formula>"Sat"</formula>
    </cfRule>
    <cfRule type="cellIs" priority="54" operator="equal" dxfId="0" stopIfTrue="1">
      <formula>"Sun"</formula>
    </cfRule>
  </conditionalFormatting>
  <conditionalFormatting sqref="D60:D65">
    <cfRule type="cellIs" priority="576" operator="equal" dxfId="5" stopIfTrue="1">
      <formula>"Sat"</formula>
    </cfRule>
    <cfRule type="cellIs" priority="577" operator="equal" dxfId="0" stopIfTrue="1">
      <formula>"Sun"</formula>
    </cfRule>
  </conditionalFormatting>
  <conditionalFormatting sqref="B67:B88 D67:D80">
    <cfRule type="cellIs" priority="571" operator="equal" dxfId="0" stopIfTrue="1">
      <formula>"Sun"</formula>
    </cfRule>
    <cfRule type="cellIs" priority="570" operator="equal" dxfId="5" stopIfTrue="1">
      <formula>"Sat"</formula>
    </cfRule>
  </conditionalFormatting>
  <conditionalFormatting sqref="D82:D88">
    <cfRule type="cellIs" priority="572" operator="equal" dxfId="5" stopIfTrue="1">
      <formula>"Sat"</formula>
    </cfRule>
    <cfRule type="cellIs" priority="573" operator="equal" dxfId="0" stopIfTrue="1">
      <formula>"Sun"</formula>
    </cfRule>
  </conditionalFormatting>
  <conditionalFormatting sqref="I20:I37">
    <cfRule type="cellIs" priority="586" operator="equal" dxfId="5" stopIfTrue="1">
      <formula>"Sat"</formula>
    </cfRule>
    <cfRule type="cellIs" priority="587" operator="equal" dxfId="0" stopIfTrue="1">
      <formula>"Sun"</formula>
    </cfRule>
  </conditionalFormatting>
  <conditionalFormatting sqref="I17:BS17">
    <cfRule type="cellIs" priority="17" operator="equal" dxfId="5" stopIfTrue="1">
      <formula>"Sat"</formula>
    </cfRule>
    <cfRule type="cellIs" priority="18" operator="equal" dxfId="0" stopIfTrue="1">
      <formula>"Sun"</formula>
    </cfRule>
  </conditionalFormatting>
  <conditionalFormatting sqref="I42:BS44">
    <cfRule type="cellIs" priority="168" operator="equal" dxfId="5" stopIfTrue="1">
      <formula>"Sat"</formula>
    </cfRule>
  </conditionalFormatting>
  <conditionalFormatting sqref="J23:X24">
    <cfRule type="cellIs" priority="28" operator="equal" dxfId="0" stopIfTrue="1">
      <formula>"Sun"</formula>
    </cfRule>
    <cfRule type="cellIs" priority="27" operator="equal" dxfId="5" stopIfTrue="1">
      <formula>"Sat"</formula>
    </cfRule>
  </conditionalFormatting>
  <conditionalFormatting sqref="J18:BS22">
    <cfRule type="cellIs" priority="81" operator="equal" dxfId="0" stopIfTrue="1">
      <formula>"Sun"</formula>
    </cfRule>
  </conditionalFormatting>
  <conditionalFormatting sqref="J25:BS28">
    <cfRule type="cellIs" priority="26" operator="equal" dxfId="0" stopIfTrue="1">
      <formula>"Sun"</formula>
    </cfRule>
    <cfRule type="cellIs" priority="25" operator="equal" dxfId="5" stopIfTrue="1">
      <formula>"Sat"</formula>
    </cfRule>
  </conditionalFormatting>
  <conditionalFormatting sqref="J18:BS22 J29:BS31 BI23:BO23">
    <cfRule type="cellIs" priority="57" operator="equal" dxfId="5" stopIfTrue="1">
      <formula>"Sat"</formula>
    </cfRule>
  </conditionalFormatting>
  <conditionalFormatting sqref="J32:BS38">
    <cfRule type="cellIs" priority="2" operator="equal" dxfId="0" stopIfTrue="1">
      <formula>"Sun"</formula>
    </cfRule>
  </conditionalFormatting>
  <conditionalFormatting sqref="J32:BS41">
    <cfRule type="cellIs" priority="1" operator="equal" dxfId="5" stopIfTrue="1">
      <formula>"Sat"</formula>
    </cfRule>
  </conditionalFormatting>
  <conditionalFormatting sqref="J39:BS44">
    <cfRule type="cellIs" priority="169" operator="equal" dxfId="0" stopIfTrue="1">
      <formula>"Sun"</formula>
    </cfRule>
  </conditionalFormatting>
  <conditionalFormatting sqref="Y23:BH23">
    <cfRule type="cellIs" priority="15" operator="equal" dxfId="5" stopIfTrue="1">
      <formula>"Sat"</formula>
    </cfRule>
    <cfRule type="cellIs" priority="16" operator="equal" dxfId="0" stopIfTrue="1">
      <formula>"Sun"</formula>
    </cfRule>
  </conditionalFormatting>
  <conditionalFormatting sqref="Y24:BS24">
    <cfRule type="cellIs" priority="21" operator="equal" dxfId="5" stopIfTrue="1">
      <formula>"Sat"</formula>
    </cfRule>
    <cfRule type="cellIs" priority="22" operator="equal" dxfId="0" stopIfTrue="1">
      <formula>"Sun"</formula>
    </cfRule>
  </conditionalFormatting>
  <conditionalFormatting sqref="J29:BS31 BI23:BO23">
    <cfRule type="cellIs" priority="58" operator="equal" dxfId="0" stopIfTrue="1">
      <formula>"Sun"</formula>
    </cfRule>
  </conditionalFormatting>
  <conditionalFormatting sqref="BL23">
    <cfRule type="cellIs" priority="55" operator="equal" dxfId="0" stopIfTrue="1">
      <formula>"Sun"</formula>
    </cfRule>
  </conditionalFormatting>
  <conditionalFormatting sqref="BL30">
    <cfRule type="cellIs" priority="56" operator="equal" dxfId="0" stopIfTrue="1">
      <formula>"Sun"</formula>
    </cfRule>
  </conditionalFormatting>
  <conditionalFormatting sqref="BP23:BS23">
    <cfRule type="cellIs" priority="13" operator="equal" dxfId="5" stopIfTrue="1">
      <formula>"Sat"</formula>
    </cfRule>
    <cfRule type="cellIs" priority="14"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8.xml><?xml version="1.0" encoding="utf-8"?>
<worksheet xmlns="http://schemas.openxmlformats.org/spreadsheetml/2006/main">
  <sheetPr>
    <tabColor indexed="11"/>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C18" sqref="C18"/>
    </sheetView>
  </sheetViews>
  <sheetFormatPr baseColWidth="8" defaultColWidth="8.90625" defaultRowHeight="13.5"/>
  <cols>
    <col width="1.08984375" customWidth="1" style="1" min="1" max="1"/>
    <col width="27" bestFit="1" customWidth="1" style="1" min="2" max="2"/>
    <col width="12.6328125" bestFit="1" customWidth="1" style="1" min="3" max="3"/>
    <col width="14" bestFit="1" customWidth="1" style="1" min="4" max="4"/>
    <col width="1.6328125" customWidth="1" style="1" min="5" max="5"/>
    <col width="29" bestFit="1" customWidth="1" style="1" min="6" max="6"/>
    <col width="10.08984375" bestFit="1" customWidth="1" style="1" min="7" max="7"/>
    <col width="1.6328125" customWidth="1" style="1" min="8" max="8"/>
    <col width="25" customWidth="1" style="1" min="9" max="9"/>
    <col width="10.08984375" customWidth="1" style="1" min="10" max="10"/>
    <col width="12" bestFit="1" customWidth="1" style="1" min="11" max="11"/>
    <col width="10.08984375" customWidth="1" style="1" min="12" max="12"/>
    <col width="12" bestFit="1"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0.36328125"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0"/>
    <col width="11" bestFit="1" customWidth="1" style="1" min="31" max="31"/>
    <col width="8.90625" customWidth="1" style="1" min="32" max="32"/>
    <col width="10.90625" customWidth="1" style="1" min="33" max="33"/>
    <col width="8.90625" customWidth="1" style="1" min="34" max="34"/>
    <col width="11" bestFit="1" customWidth="1" style="1" min="35" max="35"/>
    <col width="8.90625" customWidth="1" style="1" min="36" max="36"/>
    <col width="11" bestFit="1" customWidth="1" style="1" min="37" max="37"/>
    <col width="7.08984375" bestFit="1" customWidth="1" style="1" min="38" max="38"/>
    <col width="11" bestFit="1" customWidth="1" style="1" min="39" max="39"/>
    <col width="10.453125" customWidth="1" style="1" min="40" max="40"/>
    <col width="11" bestFit="1" customWidth="1" style="1" min="41" max="41"/>
    <col width="7.08984375" bestFit="1" customWidth="1" style="1" min="42" max="42"/>
    <col width="11" bestFit="1" customWidth="1" style="1" min="43" max="43"/>
    <col width="9.26953125" bestFit="1" customWidth="1" style="1" min="44" max="44"/>
    <col width="11" bestFit="1" customWidth="1" style="1" min="45" max="45"/>
    <col width="7.08984375" bestFit="1" customWidth="1" style="1" min="46" max="46"/>
    <col width="11" bestFit="1" customWidth="1" style="1" min="47" max="47"/>
    <col width="7.6328125" bestFit="1" customWidth="1" style="1" min="48" max="48"/>
    <col width="11" bestFit="1" customWidth="1" style="1" min="49" max="49"/>
    <col width="9.36328125" bestFit="1" customWidth="1" style="1" min="50" max="50"/>
    <col width="11" bestFit="1" customWidth="1" style="1" min="51" max="51"/>
    <col width="7.7265625" bestFit="1" customWidth="1" style="1" min="52" max="52"/>
    <col width="11" bestFit="1" customWidth="1" style="1" min="53" max="53"/>
    <col width="7.08984375" bestFit="1" customWidth="1" style="1" min="54" max="54"/>
    <col width="11" bestFit="1" customWidth="1" style="1" min="55" max="55"/>
    <col width="7.08984375" bestFit="1" customWidth="1" style="1" min="56" max="56"/>
    <col width="11" bestFit="1" customWidth="1" style="1" min="57" max="57"/>
    <col width="8.26953125" bestFit="1" customWidth="1" style="1" min="58" max="58"/>
    <col width="11.6328125" bestFit="1" customWidth="1" style="1" min="59" max="59"/>
    <col width="7.08984375" bestFit="1" customWidth="1" style="1" min="60" max="60"/>
    <col width="11" bestFit="1" customWidth="1" style="1" min="61" max="61"/>
    <col width="9.6328125" customWidth="1" style="1" min="62" max="62"/>
    <col width="11" bestFit="1" customWidth="1" style="1" min="63" max="63"/>
    <col width="9.6328125" bestFit="1" customWidth="1" style="1" min="64" max="64"/>
    <col width="11" bestFit="1" customWidth="1" style="1" min="65" max="65"/>
    <col width="10.90625" bestFit="1" customWidth="1" style="1" min="66" max="66"/>
    <col width="11" bestFit="1" customWidth="1" style="1" min="67" max="67"/>
    <col width="7.08984375" bestFit="1" customWidth="1" style="1" min="68" max="68"/>
    <col width="11" bestFit="1" customWidth="1" style="1" min="69" max="69"/>
    <col width="7.08984375" bestFit="1" customWidth="1" style="1" min="70" max="70"/>
    <col width="11"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7</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f>IF(BP2="","",IF(BP2&gt;=$C$1,"",BP2+1))</f>
        <v/>
      </c>
      <c r="BS2" s="96">
        <f>IF(BR2="","",TEXT(BR2,"ddd"))</f>
        <v/>
      </c>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inlineStr">
        <is>
          <t>Item</t>
        </is>
      </c>
      <c r="BS5" s="107" t="inlineStr">
        <is>
          <t>Amount</t>
        </is>
      </c>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417"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418"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0" t="n"/>
      <c r="D10" s="419"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410"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368">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F18+Jun!F22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0"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71"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71" t="n"/>
      <c r="O37" s="370" t="n"/>
      <c r="P37" s="371" t="n"/>
      <c r="Q37" s="370" t="n"/>
      <c r="R37" s="370" t="n"/>
      <c r="S37" s="370" t="n"/>
      <c r="T37" s="371" t="n"/>
      <c r="U37" s="370" t="n"/>
      <c r="V37" s="371" t="n"/>
      <c r="W37" s="370" t="n"/>
      <c r="X37" s="371" t="n"/>
      <c r="Y37" s="370" t="n"/>
      <c r="Z37" s="372"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6" ht="14" customHeight="1" s="304">
      <c r="B46" s="176" t="n"/>
      <c r="C46" s="176" t="n"/>
      <c r="D46" s="176" t="n"/>
      <c r="E46" s="176" t="n"/>
    </row>
    <row r="47" ht="40" customHeight="1" s="304">
      <c r="B47" s="451" t="inlineStr">
        <is>
          <t>Transactions this month
One row per posted line. These rows are not included in the totals above. Payments are not listed.</t>
        </is>
      </c>
    </row>
    <row r="48" ht="32" customHeight="1" s="304">
      <c r="B48" s="449" t="inlineStr">
        <is>
          <t>Card</t>
        </is>
      </c>
      <c r="C48" s="453" t="inlineStr">
        <is>
          <t>Trans date</t>
        </is>
      </c>
      <c r="D48" s="454" t="inlineStr">
        <is>
          <t>Post date</t>
        </is>
      </c>
      <c r="E48" s="45" t="n"/>
      <c r="F48" s="449"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45" t="n"/>
      <c r="C49" s="47" t="n"/>
      <c r="D49" s="168" t="n"/>
      <c r="E49" s="45" t="n"/>
      <c r="G49" s="461" t="n"/>
    </row>
    <row r="50" ht="14" customHeight="1" s="304">
      <c r="B50" s="45" t="n"/>
      <c r="C50" s="47" t="n"/>
      <c r="D50" s="168" t="n"/>
      <c r="E50" s="45" t="n"/>
      <c r="G50" s="461" t="n"/>
    </row>
    <row r="51" ht="14" customHeight="1" s="304">
      <c r="B51" s="45" t="n"/>
      <c r="C51" s="47" t="n"/>
      <c r="D51" s="168" t="n"/>
      <c r="E51" s="45" t="n"/>
      <c r="G51" s="461" t="n"/>
    </row>
    <row r="52" ht="14" customHeight="1" s="304">
      <c r="B52" s="45" t="n"/>
      <c r="C52" s="47" t="n"/>
      <c r="D52" s="168" t="n"/>
      <c r="E52" s="45" t="n"/>
      <c r="F52" s="62" t="n"/>
      <c r="G52" s="461" t="n"/>
    </row>
    <row r="53" ht="14" customHeight="1" s="304">
      <c r="B53" s="45" t="n"/>
      <c r="C53" s="47" t="n"/>
      <c r="D53" s="168" t="n"/>
      <c r="E53" s="45" t="n"/>
      <c r="F53" s="62" t="n"/>
      <c r="G53" s="461" t="n"/>
    </row>
    <row r="54" ht="14" customHeight="1" s="304">
      <c r="B54" s="45" t="n"/>
      <c r="C54" s="47" t="n"/>
      <c r="D54" s="168" t="n"/>
      <c r="E54" s="45" t="n"/>
      <c r="F54" s="62" t="n"/>
      <c r="G54" s="461" t="n"/>
    </row>
    <row r="55" ht="14" customHeight="1" s="304">
      <c r="B55" s="45" t="n"/>
      <c r="C55" s="47" t="n"/>
      <c r="D55" s="168" t="n"/>
      <c r="E55" s="45" t="n"/>
      <c r="F55" s="62" t="n"/>
      <c r="G55" s="461" t="n"/>
    </row>
    <row r="56" ht="14" customHeight="1" s="304">
      <c r="B56" s="45" t="n"/>
      <c r="C56" s="47" t="n"/>
      <c r="D56" s="168" t="n"/>
      <c r="E56" s="45" t="n"/>
      <c r="F56" s="62" t="n"/>
      <c r="G56" s="461" t="n"/>
    </row>
    <row r="57" ht="14" customHeight="1" s="304">
      <c r="B57" s="45" t="n"/>
      <c r="C57" s="47" t="n"/>
      <c r="D57" s="168" t="n"/>
      <c r="E57" s="45" t="n"/>
      <c r="G57" s="461" t="n"/>
    </row>
    <row r="58" ht="14" customHeight="1" s="304">
      <c r="B58" s="45" t="n"/>
      <c r="C58" s="47" t="n"/>
      <c r="D58" s="168" t="n"/>
      <c r="E58" s="45" t="n"/>
      <c r="F58" s="62" t="n"/>
      <c r="G58" s="168" t="n"/>
      <c r="H58" s="62" t="n"/>
      <c r="I58" s="62" t="n"/>
    </row>
    <row r="59" ht="14" customHeight="1" s="304">
      <c r="B59" s="62" t="n"/>
      <c r="C59" s="62" t="n"/>
      <c r="D59" s="193" t="n"/>
      <c r="E59" s="62" t="n"/>
      <c r="F59" s="62" t="n"/>
      <c r="G59" s="168" t="n"/>
      <c r="H59" s="62" t="n"/>
      <c r="I59" s="62" t="n"/>
    </row>
    <row r="60" ht="14" customHeight="1" s="304">
      <c r="B60" s="62" t="n"/>
      <c r="C60" s="62" t="n"/>
      <c r="D60" s="62" t="n"/>
      <c r="E60" s="62" t="n"/>
      <c r="F60" s="62" t="n"/>
      <c r="G60" s="168" t="n"/>
      <c r="H60" s="62" t="n"/>
      <c r="I60" s="62" t="n"/>
    </row>
    <row r="61" ht="14" customHeight="1" s="304">
      <c r="B61" s="62" t="n"/>
      <c r="C61" s="62" t="n"/>
      <c r="D61" s="62" t="n"/>
      <c r="E61" s="62" t="n"/>
      <c r="F61" s="62" t="n"/>
      <c r="G61" s="168" t="n"/>
      <c r="H61" s="62" t="n"/>
      <c r="I61" s="62" t="n"/>
    </row>
    <row r="62" ht="14" customHeight="1" s="304">
      <c r="B62" s="62" t="n"/>
      <c r="C62" s="62" t="n"/>
      <c r="D62" s="62" t="n"/>
      <c r="E62" s="62" t="n"/>
      <c r="F62" s="62" t="n"/>
      <c r="G62" s="168" t="n"/>
      <c r="H62" s="62" t="n"/>
      <c r="I62" s="62" t="n"/>
    </row>
    <row r="63" ht="14" customHeight="1" s="304">
      <c r="B63" s="62" t="n"/>
      <c r="C63" s="62" t="n"/>
      <c r="D63" s="62" t="n"/>
      <c r="E63" s="62" t="n"/>
      <c r="F63" s="62" t="n"/>
      <c r="G63" s="168" t="n"/>
      <c r="H63" s="62" t="n"/>
      <c r="I63" s="62" t="n"/>
    </row>
    <row r="64" ht="14" customHeight="1" s="304">
      <c r="B64" s="62" t="n"/>
      <c r="C64" s="62" t="n"/>
      <c r="D64" s="62" t="n"/>
      <c r="E64" s="62" t="n"/>
      <c r="F64" s="62" t="n"/>
      <c r="G64" s="168" t="n"/>
      <c r="H64" s="62" t="n"/>
      <c r="I64" s="62" t="n"/>
    </row>
    <row r="65" ht="14" customHeight="1" s="304">
      <c r="B65" s="62" t="n"/>
      <c r="C65" s="62" t="n"/>
      <c r="D65" s="62" t="n"/>
      <c r="E65" s="62" t="n"/>
      <c r="F65" s="62" t="n"/>
      <c r="G65" s="168" t="n"/>
      <c r="H65" s="62" t="n"/>
      <c r="I65" s="62" t="n"/>
    </row>
    <row r="66" ht="14" customHeight="1" s="304">
      <c r="B66" s="62" t="n"/>
      <c r="C66" s="62" t="n"/>
      <c r="D66" s="62" t="n"/>
      <c r="E66" s="62" t="n"/>
      <c r="F66" s="62" t="n"/>
      <c r="G66" s="168" t="n"/>
      <c r="H66" s="62" t="n"/>
      <c r="I66" s="62" t="n"/>
    </row>
    <row r="67" ht="14.25" customHeight="1" s="304">
      <c r="B67" s="62" t="n"/>
      <c r="C67" s="420" t="n"/>
      <c r="D67" s="195" t="n"/>
      <c r="E67" s="62" t="n"/>
      <c r="F67" s="62" t="n"/>
      <c r="G67" s="168" t="n"/>
      <c r="H67" s="62" t="n"/>
      <c r="I67" s="62" t="n"/>
    </row>
    <row r="68" ht="14" customHeight="1" s="304">
      <c r="B68" s="62" t="n"/>
      <c r="C68" s="420" t="n"/>
      <c r="D68" s="195" t="n"/>
      <c r="E68" s="62" t="n"/>
      <c r="F68" s="62" t="n"/>
      <c r="G68" s="168" t="n"/>
      <c r="H68" s="62" t="n"/>
      <c r="I68" s="62" t="n"/>
    </row>
    <row r="69" ht="14" customHeight="1" s="304">
      <c r="B69" s="62" t="n"/>
      <c r="C69" s="420" t="n"/>
      <c r="D69" s="195" t="n"/>
      <c r="E69" s="62" t="n"/>
      <c r="F69" s="62" t="n"/>
      <c r="G69" s="168" t="n"/>
      <c r="H69" s="62" t="n"/>
      <c r="I69" s="62" t="n"/>
    </row>
    <row r="70" ht="14" customHeight="1" s="304">
      <c r="B70" s="62" t="n"/>
      <c r="C70" s="420" t="n"/>
      <c r="D70" s="195" t="n"/>
      <c r="E70" s="62" t="n"/>
      <c r="F70" s="62" t="n"/>
      <c r="G70" s="168" t="n"/>
      <c r="H70" s="62" t="n"/>
      <c r="I70" s="62" t="n"/>
    </row>
    <row r="71" ht="14" customHeight="1" s="304">
      <c r="B71" s="62" t="n"/>
      <c r="C71" s="420" t="n"/>
      <c r="D71" s="195" t="n"/>
      <c r="E71" s="62" t="n"/>
      <c r="F71" s="62" t="n"/>
      <c r="G71" s="168" t="n"/>
      <c r="H71" s="62" t="n"/>
      <c r="I71" s="62" t="n"/>
    </row>
    <row r="72" ht="14" customHeight="1" s="304">
      <c r="B72" s="62" t="n"/>
      <c r="C72" s="420" t="n"/>
      <c r="D72" s="195" t="n"/>
      <c r="E72" s="62" t="n"/>
      <c r="F72" s="62" t="n"/>
      <c r="G72" s="168" t="n"/>
      <c r="H72" s="62" t="n"/>
      <c r="I72" s="62" t="n"/>
    </row>
    <row r="73" ht="14" customHeight="1" s="304">
      <c r="B73" s="62" t="n"/>
      <c r="C73" s="420" t="n"/>
      <c r="D73" s="195" t="n"/>
      <c r="E73" s="62" t="n"/>
      <c r="F73" s="62" t="n"/>
      <c r="G73" s="168" t="n"/>
      <c r="H73" s="62" t="n"/>
      <c r="I73" s="62" t="n"/>
    </row>
    <row r="74" ht="14" customHeight="1" s="304">
      <c r="B74" s="62" t="n"/>
      <c r="C74" s="420" t="n"/>
      <c r="D74" s="195" t="n"/>
      <c r="E74" s="62" t="n"/>
      <c r="F74" s="62" t="n"/>
      <c r="G74" s="168" t="n"/>
      <c r="H74" s="62" t="n"/>
      <c r="I74" s="62" t="n"/>
    </row>
    <row r="75" ht="14" customHeight="1" s="304">
      <c r="B75" s="62" t="n"/>
      <c r="C75" s="420" t="n"/>
      <c r="D75" s="195" t="n"/>
      <c r="E75" s="62" t="n"/>
      <c r="F75" s="62" t="n"/>
      <c r="G75" s="168" t="n"/>
      <c r="H75" s="62" t="n"/>
      <c r="I75" s="62" t="n"/>
    </row>
    <row r="76" ht="14" customHeight="1" s="304">
      <c r="B76" s="62" t="n"/>
      <c r="C76" s="420" t="n"/>
      <c r="D76" s="195" t="n"/>
      <c r="E76" s="62" t="n"/>
      <c r="F76" s="62" t="n"/>
      <c r="G76" s="168" t="n"/>
      <c r="H76" s="62" t="n"/>
      <c r="I76" s="62" t="n"/>
    </row>
    <row r="77" ht="14" customHeight="1" s="304">
      <c r="B77" s="62" t="n"/>
      <c r="C77" s="420" t="n"/>
      <c r="D77" s="62" t="n"/>
      <c r="E77" s="62" t="n"/>
      <c r="F77" s="62" t="n"/>
      <c r="G77" s="168" t="n"/>
      <c r="H77" s="62" t="n"/>
      <c r="I77" s="62" t="n"/>
    </row>
    <row r="78" ht="14" customHeight="1" s="304">
      <c r="B78" s="62" t="n"/>
      <c r="C78" s="420" t="n"/>
      <c r="D78" s="62" t="n"/>
      <c r="E78" s="62" t="n"/>
      <c r="F78" s="62" t="n"/>
      <c r="G78" s="168" t="n"/>
      <c r="H78" s="62" t="n"/>
      <c r="I78" s="62" t="n"/>
    </row>
    <row r="79" ht="14" customHeight="1" s="304">
      <c r="B79" s="62" t="n"/>
      <c r="C79" s="420" t="n"/>
      <c r="D79" s="62" t="n"/>
      <c r="E79" s="62" t="n"/>
      <c r="F79" s="62" t="n"/>
      <c r="G79" s="168" t="n"/>
      <c r="H79" s="62" t="n"/>
      <c r="I79" s="62" t="n"/>
    </row>
    <row r="80" ht="14" customHeight="1" s="304">
      <c r="B80" s="62" t="n"/>
      <c r="C80" s="420" t="n"/>
      <c r="D80" s="62" t="n"/>
      <c r="E80" s="62" t="n"/>
      <c r="F80" s="62" t="n"/>
      <c r="G80" s="168" t="n"/>
      <c r="H80" s="62" t="n"/>
      <c r="I80" s="62" t="n"/>
    </row>
    <row r="81" ht="14" customHeight="1" s="304">
      <c r="B81" s="62" t="n"/>
      <c r="C81" s="420" t="n"/>
      <c r="D81" s="62" t="n"/>
      <c r="E81" s="62" t="n"/>
      <c r="F81" s="62" t="n"/>
      <c r="G81" s="168" t="n"/>
      <c r="H81" s="62" t="n"/>
      <c r="I81" s="62" t="n"/>
    </row>
    <row r="82" ht="14" customHeight="1" s="304">
      <c r="B82" s="62" t="n"/>
      <c r="C82" s="420" t="n"/>
      <c r="D82" s="62" t="n"/>
      <c r="E82" s="62" t="n"/>
      <c r="F82" s="62" t="n"/>
      <c r="G82" s="168" t="n"/>
      <c r="H82" s="62" t="n"/>
      <c r="I82" s="62" t="n"/>
    </row>
    <row r="83" ht="14" customHeight="1" s="304">
      <c r="B83" s="62" t="n"/>
      <c r="C83" s="420" t="n"/>
      <c r="D83" s="62" t="n"/>
      <c r="E83" s="62" t="n"/>
      <c r="F83" s="62" t="n"/>
      <c r="G83" s="168" t="n"/>
      <c r="H83" s="62" t="n"/>
      <c r="I83" s="62" t="n"/>
    </row>
    <row r="84" ht="14" customHeight="1" s="304">
      <c r="B84" s="62" t="n"/>
      <c r="C84" s="420" t="n"/>
      <c r="D84" s="195" t="n"/>
      <c r="E84" s="62" t="n"/>
      <c r="F84" s="62" t="n"/>
      <c r="G84" s="168" t="n"/>
      <c r="H84" s="62" t="n"/>
      <c r="I84" s="62" t="n"/>
    </row>
    <row r="85" ht="14" customHeight="1" s="304">
      <c r="B85" s="62" t="n"/>
      <c r="C85" s="420" t="n"/>
      <c r="D85" s="195" t="n"/>
      <c r="E85" s="62" t="n"/>
      <c r="F85" s="62" t="n"/>
      <c r="G85" s="168" t="n"/>
      <c r="H85" s="62" t="n"/>
      <c r="I85" s="62" t="n"/>
    </row>
    <row r="86" ht="14" customHeight="1" s="304">
      <c r="B86" s="62" t="n"/>
      <c r="C86" s="420" t="n"/>
      <c r="D86" s="195" t="n"/>
      <c r="E86" s="62" t="n"/>
      <c r="F86" s="62" t="n"/>
      <c r="G86" s="168" t="n"/>
      <c r="H86" s="62" t="n"/>
      <c r="I86" s="62" t="n"/>
    </row>
    <row r="87" ht="14" customHeight="1" s="304">
      <c r="B87" s="62" t="n"/>
      <c r="C87" s="420" t="n"/>
      <c r="D87" s="195" t="n"/>
      <c r="E87" s="62" t="n"/>
      <c r="F87" s="62" t="n"/>
      <c r="G87" s="168" t="n"/>
      <c r="H87" s="62" t="n"/>
      <c r="I87" s="62" t="n"/>
    </row>
    <row r="88" ht="14" customHeight="1" s="304">
      <c r="B88" s="62" t="n"/>
      <c r="C88" s="420" t="n"/>
      <c r="D88" s="195" t="n"/>
      <c r="E88" s="62" t="n"/>
      <c r="F88" s="62" t="n"/>
      <c r="G88" s="168" t="n"/>
      <c r="H88" s="62" t="n"/>
      <c r="I88" s="62" t="n"/>
    </row>
    <row r="89" ht="14" customHeight="1" s="304">
      <c r="B89" s="62" t="n"/>
      <c r="C89" s="420" t="n"/>
      <c r="D89" s="195" t="n"/>
      <c r="E89" s="62" t="n"/>
      <c r="F89" s="62" t="n"/>
      <c r="G89" s="168" t="n"/>
      <c r="H89" s="62" t="n"/>
      <c r="I89" s="62" t="n"/>
    </row>
    <row r="90" ht="14" customHeight="1" s="304">
      <c r="B90" s="62" t="n"/>
      <c r="C90" s="420" t="n"/>
      <c r="D90" s="195" t="n"/>
      <c r="E90" s="62" t="n"/>
      <c r="F90" s="62" t="n"/>
      <c r="G90" s="168" t="n"/>
      <c r="H90" s="62" t="n"/>
      <c r="I90" s="62" t="n"/>
    </row>
    <row r="91" ht="14" customHeight="1" s="304">
      <c r="B91" s="62" t="n"/>
      <c r="C91" s="420" t="n"/>
      <c r="D91" s="195" t="n"/>
      <c r="E91" s="62" t="n"/>
      <c r="F91" s="62" t="n"/>
      <c r="G91" s="168" t="n"/>
      <c r="H91" s="62" t="n"/>
      <c r="I91" s="62" t="n"/>
    </row>
    <row r="92" ht="14" customHeight="1" s="304">
      <c r="B92" s="62" t="n"/>
      <c r="C92" s="420" t="n"/>
      <c r="D92" s="195" t="n"/>
      <c r="E92" s="62" t="n"/>
      <c r="F92" s="62" t="n"/>
      <c r="G92" s="168" t="n"/>
      <c r="H92" s="62" t="n"/>
      <c r="I92" s="62" t="n"/>
    </row>
    <row r="93" ht="14" customHeight="1" s="304">
      <c r="B93" s="62" t="n"/>
      <c r="C93" s="420" t="n"/>
      <c r="D93" s="195" t="n"/>
      <c r="E93" s="62" t="n"/>
      <c r="F93" s="62" t="n"/>
      <c r="G93" s="168" t="n"/>
      <c r="H93" s="62" t="n"/>
      <c r="I93" s="62" t="n"/>
    </row>
    <row r="94" ht="14" customHeight="1" s="304">
      <c r="B94" s="62" t="n"/>
      <c r="C94" s="420" t="n"/>
      <c r="D94" s="195" t="n"/>
      <c r="E94" s="62" t="n"/>
      <c r="F94" s="62" t="n"/>
      <c r="G94" s="168" t="n"/>
      <c r="H94" s="62" t="n"/>
      <c r="I94" s="62" t="n"/>
    </row>
    <row r="95" ht="14" customHeight="1" s="304">
      <c r="B95" s="62" t="n"/>
      <c r="C95" s="420" t="n"/>
      <c r="D95" s="195" t="n"/>
      <c r="E95" s="62" t="n"/>
      <c r="F95" s="62" t="n"/>
      <c r="G95" s="168" t="n"/>
      <c r="H95" s="62" t="n"/>
      <c r="I95" s="62" t="n"/>
    </row>
    <row r="96" ht="14" customHeight="1" s="304">
      <c r="B96" s="62" t="n"/>
      <c r="C96" s="420" t="n"/>
      <c r="D96" s="62" t="n"/>
      <c r="E96" s="62" t="n"/>
      <c r="F96" s="62" t="n"/>
      <c r="G96" s="168" t="n"/>
      <c r="H96" s="62" t="n"/>
      <c r="I96" s="62" t="n"/>
    </row>
    <row r="97" ht="14" customHeight="1" s="304">
      <c r="B97" s="62" t="n"/>
      <c r="C97" s="420" t="n"/>
      <c r="D97" s="62" t="n"/>
      <c r="E97" s="62" t="n"/>
      <c r="F97" s="62" t="n"/>
      <c r="G97" s="168" t="n"/>
      <c r="H97" s="62" t="n"/>
      <c r="I97" s="62" t="n"/>
    </row>
    <row r="98" ht="14" customHeight="1" s="304">
      <c r="B98" s="62" t="n"/>
      <c r="C98" s="420" t="n"/>
      <c r="D98" s="62" t="n"/>
      <c r="E98" s="62" t="n"/>
      <c r="F98" s="62" t="n"/>
      <c r="G98" s="168" t="n"/>
      <c r="H98" s="62" t="n"/>
      <c r="I98" s="62" t="n"/>
    </row>
    <row r="99" ht="14" customHeight="1" s="304">
      <c r="B99" s="62" t="n"/>
      <c r="C99" s="420" t="n"/>
      <c r="D99" s="62" t="n"/>
      <c r="E99" s="62" t="n"/>
      <c r="F99" s="62" t="n"/>
      <c r="G99" s="168" t="n"/>
      <c r="H99" s="62" t="n"/>
      <c r="I99" s="62" t="n"/>
    </row>
    <row r="100" ht="14" customHeight="1" s="304">
      <c r="B100" s="62" t="n"/>
      <c r="C100" s="420" t="n"/>
      <c r="D100" s="62" t="n"/>
      <c r="E100" s="62" t="n"/>
      <c r="F100" s="62" t="n"/>
      <c r="G100" s="168" t="n"/>
      <c r="H100" s="62" t="n"/>
      <c r="I100" s="62" t="n"/>
    </row>
    <row r="101" ht="14" customHeight="1" s="304">
      <c r="B101" s="62" t="n"/>
      <c r="C101" s="420" t="n"/>
      <c r="D101" s="62" t="n"/>
      <c r="E101" s="62" t="n"/>
      <c r="F101" s="62" t="n"/>
      <c r="G101" s="168" t="n"/>
      <c r="H101" s="62" t="n"/>
      <c r="I101" s="62" t="n"/>
    </row>
    <row r="102" ht="14" customHeight="1" s="304">
      <c r="B102" s="62" t="n"/>
      <c r="C102" s="420" t="n"/>
      <c r="D102" s="62" t="n"/>
      <c r="E102" s="62" t="n"/>
      <c r="F102" s="62" t="n"/>
      <c r="G102" s="168" t="n"/>
      <c r="H102" s="62" t="n"/>
      <c r="I102" s="62" t="n"/>
    </row>
    <row r="103" ht="14" customHeight="1" s="304">
      <c r="B103" s="62" t="n"/>
      <c r="C103" s="420" t="n"/>
      <c r="D103" s="62" t="n"/>
      <c r="E103" s="62" t="n"/>
      <c r="F103" s="62" t="n"/>
      <c r="G103" s="168" t="n"/>
      <c r="H103" s="62" t="n"/>
      <c r="I103" s="62" t="n"/>
    </row>
    <row r="104" ht="14" customHeight="1" s="304">
      <c r="B104" s="62" t="n"/>
      <c r="C104" s="420" t="n"/>
      <c r="D104" s="62" t="n"/>
      <c r="E104" s="62" t="n"/>
      <c r="F104" s="62" t="n"/>
      <c r="G104" s="168" t="n"/>
      <c r="H104" s="62" t="n"/>
      <c r="I104" s="62" t="n"/>
    </row>
    <row r="105" ht="14" customHeight="1" s="304">
      <c r="B105" s="62" t="n"/>
      <c r="C105" s="420" t="n"/>
      <c r="D105" s="62" t="n"/>
      <c r="E105" s="62" t="n"/>
      <c r="F105" s="62" t="n"/>
      <c r="G105" s="168" t="n"/>
      <c r="H105" s="62" t="n"/>
      <c r="I105" s="62" t="n"/>
    </row>
    <row r="106" ht="14" customHeight="1" s="304">
      <c r="B106" s="62" t="n"/>
      <c r="C106" s="420" t="n"/>
      <c r="D106" s="62" t="n"/>
      <c r="E106" s="62" t="n"/>
      <c r="F106" s="62" t="n"/>
      <c r="G106" s="168" t="n"/>
      <c r="H106" s="62" t="n"/>
      <c r="I106" s="62" t="n"/>
    </row>
    <row r="107" ht="14" customHeight="1" s="304">
      <c r="B107" s="62" t="n"/>
      <c r="C107" s="420" t="n"/>
      <c r="D107" s="62" t="n"/>
      <c r="E107" s="62" t="n"/>
      <c r="F107" s="62" t="n"/>
      <c r="G107" s="168" t="n"/>
      <c r="H107" s="62" t="n"/>
      <c r="I107" s="62" t="n"/>
    </row>
    <row r="108" ht="14" customHeight="1" s="304">
      <c r="B108" s="62" t="n"/>
      <c r="C108" s="420" t="n"/>
      <c r="D108" s="62" t="n"/>
      <c r="E108" s="62" t="n"/>
      <c r="F108" s="62" t="n"/>
      <c r="G108" s="168" t="n"/>
      <c r="H108" s="62" t="n"/>
      <c r="I108" s="62" t="n"/>
    </row>
    <row r="109" ht="14" customHeight="1" s="304">
      <c r="B109" s="62" t="n"/>
      <c r="C109" s="420" t="n"/>
      <c r="D109" s="62" t="n"/>
      <c r="E109" s="62" t="n"/>
      <c r="F109" s="62" t="n"/>
      <c r="G109" s="168" t="n"/>
      <c r="H109" s="62" t="n"/>
      <c r="I109" s="62" t="n"/>
    </row>
    <row r="110" ht="14" customHeight="1" s="304">
      <c r="B110" s="62" t="n"/>
      <c r="C110" s="420" t="n"/>
      <c r="D110" s="62" t="n"/>
      <c r="E110" s="62" t="n"/>
      <c r="F110" s="62" t="n"/>
      <c r="G110" s="168" t="n"/>
      <c r="H110" s="62" t="n"/>
      <c r="I110" s="62" t="n"/>
    </row>
    <row r="111" ht="14" customHeight="1" s="304">
      <c r="B111" s="62" t="n"/>
      <c r="C111" s="420" t="n"/>
      <c r="D111" s="62" t="n"/>
      <c r="E111" s="62" t="n"/>
      <c r="F111" s="62" t="n"/>
      <c r="G111" s="168" t="n"/>
      <c r="H111" s="62" t="n"/>
      <c r="I111" s="62" t="n"/>
    </row>
    <row r="112" ht="14" customHeight="1" s="304">
      <c r="B112" s="62" t="n"/>
      <c r="C112" s="420" t="n"/>
      <c r="D112" s="62" t="n"/>
      <c r="E112" s="62" t="n"/>
      <c r="F112" s="62" t="n"/>
      <c r="G112" s="168" t="n"/>
      <c r="H112" s="62" t="n"/>
      <c r="I112" s="62" t="n"/>
    </row>
    <row r="113" ht="14" customHeight="1" s="304">
      <c r="B113" s="62" t="n"/>
      <c r="C113" s="62" t="n"/>
      <c r="D113" s="62" t="n"/>
      <c r="E113" s="62" t="n"/>
      <c r="F113" s="62" t="n"/>
      <c r="G113" s="168" t="n"/>
      <c r="H113" s="62" t="n"/>
      <c r="I113" s="62" t="n"/>
    </row>
    <row r="114" ht="14" customHeight="1" s="304">
      <c r="B114" s="62" t="n"/>
      <c r="C114" s="62" t="n"/>
      <c r="D114" s="62" t="n"/>
      <c r="E114" s="62" t="n"/>
      <c r="F114" s="62" t="n"/>
      <c r="G114" s="168" t="n"/>
      <c r="H114" s="62" t="n"/>
      <c r="I114" s="62" t="n"/>
    </row>
    <row r="115" ht="14" customHeight="1" s="304">
      <c r="B115" s="62" t="n"/>
      <c r="C115" s="62" t="n"/>
      <c r="D115" s="62" t="n"/>
      <c r="E115" s="62" t="n"/>
      <c r="F115" s="62" t="n"/>
      <c r="G115" s="168" t="n"/>
      <c r="H115" s="62" t="n"/>
      <c r="I115" s="62" t="n"/>
    </row>
    <row r="116" ht="14" customHeight="1" s="304">
      <c r="B116" s="62" t="n"/>
      <c r="C116" s="62" t="n"/>
      <c r="D116" s="62" t="n"/>
      <c r="E116" s="62" t="n"/>
      <c r="F116" s="62" t="n"/>
      <c r="G116" s="168" t="n"/>
      <c r="H116" s="62" t="n"/>
      <c r="I116" s="62" t="n"/>
    </row>
    <row r="117" ht="14" customHeight="1" s="304">
      <c r="B117" s="62" t="n"/>
      <c r="C117" s="62" t="n"/>
      <c r="D117" s="62" t="n"/>
      <c r="E117" s="62" t="n"/>
      <c r="F117" s="62" t="n"/>
      <c r="G117" s="168" t="n"/>
      <c r="H117" s="62" t="n"/>
      <c r="I117" s="62" t="n"/>
    </row>
    <row r="118" ht="14" customHeight="1" s="304">
      <c r="B118" s="62" t="n"/>
      <c r="C118" s="62" t="n"/>
      <c r="D118" s="62" t="n"/>
      <c r="E118" s="62" t="n"/>
      <c r="F118" s="62" t="n"/>
      <c r="G118" s="168" t="n"/>
      <c r="H118" s="62" t="n"/>
      <c r="I118" s="62" t="n"/>
    </row>
    <row r="119" ht="14" customHeight="1" s="304">
      <c r="B119" s="62" t="n"/>
      <c r="C119" s="62" t="n"/>
      <c r="D119" s="62" t="n"/>
      <c r="E119" s="62" t="n"/>
      <c r="F119" s="62" t="n"/>
      <c r="G119" s="168" t="n"/>
      <c r="H119" s="62" t="n"/>
      <c r="I119" s="62" t="n"/>
    </row>
    <row r="120" ht="14" customHeight="1" s="304">
      <c r="B120" s="62" t="n"/>
      <c r="C120" s="62" t="n"/>
      <c r="D120" s="62" t="n"/>
      <c r="E120" s="62" t="n"/>
      <c r="F120" s="62" t="n"/>
      <c r="G120" s="168" t="n"/>
      <c r="H120" s="62" t="n"/>
      <c r="I120" s="62" t="n"/>
    </row>
    <row r="121" ht="14" customHeight="1" s="304">
      <c r="B121" s="62" t="n"/>
      <c r="C121" s="62" t="n"/>
      <c r="D121" s="62" t="n"/>
      <c r="E121" s="62" t="n"/>
      <c r="F121" s="62" t="n"/>
      <c r="G121" s="168" t="n"/>
      <c r="H121" s="62" t="n"/>
      <c r="I121" s="62" t="n"/>
    </row>
    <row r="122" ht="14" customHeight="1" s="304">
      <c r="B122" s="62" t="n"/>
      <c r="C122" s="62" t="n"/>
      <c r="D122" s="62" t="n"/>
      <c r="E122" s="62" t="n"/>
      <c r="F122" s="62" t="n"/>
      <c r="G122" s="168" t="n"/>
      <c r="H122" s="62" t="n"/>
      <c r="I122" s="62" t="n"/>
    </row>
    <row r="123" ht="14" customHeight="1" s="304">
      <c r="B123" s="62" t="n"/>
      <c r="C123" s="62" t="n"/>
      <c r="D123" s="62" t="n"/>
      <c r="E123" s="62" t="n"/>
      <c r="F123" s="62" t="n"/>
      <c r="G123" s="168" t="n"/>
      <c r="H123" s="62" t="n"/>
      <c r="I123" s="62" t="n"/>
      <c r="AX123" s="166" t="n"/>
    </row>
    <row r="124" ht="14" customHeight="1" s="304">
      <c r="B124" s="62" t="n"/>
      <c r="C124" s="62" t="n"/>
      <c r="D124" s="62" t="n"/>
      <c r="E124" s="62" t="n"/>
      <c r="F124" s="62" t="n"/>
      <c r="G124" s="168" t="n"/>
      <c r="H124" s="62" t="n"/>
      <c r="I124" s="62" t="n"/>
    </row>
    <row r="125" ht="14" customHeight="1" s="304">
      <c r="B125" s="62" t="n"/>
      <c r="C125" s="62" t="n"/>
      <c r="D125" s="62" t="n"/>
      <c r="E125" s="62" t="n"/>
      <c r="F125" s="62" t="n"/>
      <c r="G125" s="168" t="n"/>
      <c r="H125" s="62" t="n"/>
      <c r="I125" s="62" t="n"/>
    </row>
    <row r="126" ht="14" customHeight="1" s="304">
      <c r="B126" s="62" t="n"/>
      <c r="C126" s="62" t="n"/>
      <c r="D126" s="62" t="n"/>
      <c r="E126" s="62" t="n"/>
      <c r="F126" s="62" t="n"/>
      <c r="G126" s="168" t="n"/>
      <c r="H126" s="62" t="n"/>
      <c r="I126" s="62" t="n"/>
    </row>
    <row r="127" ht="13.5" customHeight="1" s="304">
      <c r="G127" s="461" t="n"/>
    </row>
    <row r="128" ht="14" customHeight="1" s="304">
      <c r="B128" s="62" t="n"/>
      <c r="C128" s="62" t="n"/>
      <c r="D128" s="62" t="n"/>
      <c r="E128" s="62" t="n"/>
      <c r="F128" s="62" t="n"/>
      <c r="G128" s="168" t="n"/>
      <c r="H128" s="62" t="n"/>
      <c r="I128" s="62" t="n"/>
    </row>
    <row r="129" ht="14" customHeight="1" s="304">
      <c r="B129" s="62" t="n"/>
      <c r="C129" s="62" t="n"/>
      <c r="D129" s="62" t="n"/>
      <c r="E129" s="62" t="n"/>
      <c r="F129" s="62" t="n"/>
      <c r="G129" s="168" t="n"/>
      <c r="H129" s="62" t="n"/>
      <c r="I129" s="62" t="n"/>
    </row>
    <row r="130" ht="14" customHeight="1" s="304">
      <c r="B130" s="62" t="n"/>
      <c r="C130" s="62" t="n"/>
      <c r="D130" s="62" t="n"/>
      <c r="E130" s="62" t="n"/>
      <c r="F130" s="62" t="n"/>
      <c r="G130" s="168" t="n"/>
      <c r="H130" s="62" t="n"/>
      <c r="I130" s="62" t="n"/>
    </row>
    <row r="131" ht="14" customHeight="1" s="304">
      <c r="B131" s="62" t="n"/>
      <c r="C131" s="62" t="n"/>
      <c r="D131" s="62" t="n"/>
      <c r="E131" s="62" t="n"/>
      <c r="F131" s="62" t="n"/>
      <c r="G131" s="168" t="n"/>
      <c r="H131" s="62" t="n"/>
      <c r="I131" s="62" t="n"/>
    </row>
    <row r="132" ht="14" customHeight="1" s="304">
      <c r="B132" s="62" t="n"/>
      <c r="C132" s="62" t="n"/>
      <c r="D132" s="62" t="n"/>
      <c r="E132" s="62" t="n"/>
      <c r="F132" s="62" t="n"/>
      <c r="G132" s="168" t="n"/>
      <c r="H132" s="62" t="n"/>
      <c r="I132" s="62" t="n"/>
    </row>
    <row r="133" ht="14" customHeight="1" s="304">
      <c r="B133" s="62" t="n"/>
      <c r="C133" s="62" t="n"/>
      <c r="D133" s="62" t="n"/>
      <c r="E133" s="62" t="n"/>
      <c r="F133" s="62" t="n"/>
      <c r="G133" s="168" t="n"/>
      <c r="H133" s="62" t="n"/>
      <c r="I133" s="62" t="n"/>
    </row>
    <row r="134" ht="14" customHeight="1" s="304">
      <c r="B134" s="62" t="n"/>
      <c r="C134" s="62" t="n"/>
      <c r="D134" s="62" t="n"/>
      <c r="E134" s="62" t="n"/>
      <c r="F134" s="62" t="n"/>
      <c r="G134" s="168" t="n"/>
      <c r="H134" s="62" t="n"/>
      <c r="I134" s="62" t="n"/>
    </row>
    <row r="135" ht="14" customHeight="1" s="304">
      <c r="B135" s="62" t="n"/>
      <c r="C135" s="62" t="n"/>
      <c r="D135" s="62" t="n"/>
      <c r="E135" s="62" t="n"/>
      <c r="F135" s="62" t="n"/>
      <c r="G135" s="168" t="n"/>
      <c r="H135" s="62" t="n"/>
      <c r="I135" s="62" t="n"/>
    </row>
    <row r="136" ht="14" customHeight="1" s="304">
      <c r="B136" s="62" t="n"/>
      <c r="C136" s="62" t="n"/>
      <c r="D136" s="62" t="n"/>
      <c r="E136" s="62" t="n"/>
      <c r="F136" s="62" t="n"/>
      <c r="G136" s="168" t="n"/>
      <c r="H136" s="62" t="n"/>
      <c r="I136" s="62" t="n"/>
    </row>
    <row r="137" ht="14" customHeight="1" s="304">
      <c r="B137" s="62" t="n"/>
      <c r="C137" s="62" t="n"/>
      <c r="D137" s="62" t="n"/>
      <c r="E137" s="62" t="n"/>
      <c r="F137" s="62" t="n"/>
      <c r="G137" s="168" t="n"/>
      <c r="H137" s="62" t="n"/>
      <c r="I137" s="62" t="n"/>
    </row>
    <row r="138" ht="14" customHeight="1" s="304">
      <c r="B138" s="62" t="n"/>
      <c r="C138" s="62" t="n"/>
      <c r="D138" s="62" t="n"/>
      <c r="E138" s="62" t="n"/>
      <c r="F138" s="62" t="n"/>
      <c r="G138" s="168" t="n"/>
      <c r="H138" s="62" t="n"/>
      <c r="I138" s="62" t="n"/>
    </row>
    <row r="139" ht="14" customHeight="1" s="304">
      <c r="B139" s="62" t="n"/>
      <c r="C139" s="62" t="n"/>
      <c r="D139" s="62" t="n"/>
      <c r="E139" s="62" t="n"/>
      <c r="F139" s="62" t="n"/>
      <c r="G139" s="168" t="n"/>
      <c r="H139" s="62" t="n"/>
      <c r="I139" s="62" t="n"/>
    </row>
    <row r="140" ht="14" customHeight="1" s="304">
      <c r="B140" s="62" t="n"/>
      <c r="C140" s="62" t="n"/>
      <c r="D140" s="62" t="n"/>
      <c r="E140" s="62" t="n"/>
      <c r="F140" s="62" t="n"/>
      <c r="G140" s="168" t="n"/>
      <c r="H140" s="62" t="n"/>
      <c r="I140" s="62" t="n"/>
    </row>
    <row r="141" ht="14" customHeight="1" s="304">
      <c r="B141" s="62" t="n"/>
      <c r="C141" s="62" t="n"/>
      <c r="D141" s="62" t="n"/>
      <c r="E141" s="62" t="n"/>
      <c r="F141" s="62" t="n"/>
      <c r="G141" s="168" t="n"/>
      <c r="H141" s="62" t="n"/>
      <c r="I141" s="62" t="n"/>
    </row>
    <row r="142" ht="14" customHeight="1" s="304">
      <c r="B142" s="62" t="n"/>
      <c r="C142" s="62" t="n"/>
      <c r="D142" s="62" t="n"/>
      <c r="E142" s="62" t="n"/>
      <c r="F142" s="62" t="n"/>
      <c r="G142" s="168" t="n"/>
      <c r="H142" s="62" t="n"/>
      <c r="I142" s="62" t="n"/>
    </row>
    <row r="143" ht="14" customHeight="1" s="304">
      <c r="B143" s="62" t="n"/>
      <c r="C143" s="62" t="n"/>
      <c r="D143" s="62" t="n"/>
      <c r="E143" s="62" t="n"/>
      <c r="F143" s="62" t="n"/>
      <c r="G143" s="168" t="n"/>
      <c r="H143" s="62" t="n"/>
      <c r="I143" s="62" t="n"/>
    </row>
    <row r="144" ht="14" customHeight="1" s="304">
      <c r="B144" s="62" t="n"/>
      <c r="C144" s="62" t="n"/>
      <c r="D144" s="62" t="n"/>
      <c r="E144" s="62" t="n"/>
      <c r="F144" s="62" t="n"/>
      <c r="G144" s="168" t="n"/>
      <c r="H144" s="62" t="n"/>
      <c r="I144" s="62" t="n"/>
    </row>
    <row r="145" ht="14" customHeight="1" s="304">
      <c r="B145" s="62" t="n"/>
      <c r="C145" s="62" t="n"/>
      <c r="D145" s="62" t="n"/>
      <c r="E145" s="62" t="n"/>
      <c r="F145" s="62" t="n"/>
      <c r="G145" s="168" t="n"/>
      <c r="H145" s="62" t="n"/>
      <c r="I145" s="62" t="n"/>
    </row>
    <row r="146" ht="14" customHeight="1" s="304">
      <c r="B146" s="62" t="n"/>
      <c r="C146" s="62" t="n"/>
      <c r="D146" s="62" t="n"/>
      <c r="E146" s="62" t="n"/>
      <c r="F146" s="62" t="n"/>
      <c r="G146" s="168" t="n"/>
      <c r="H146" s="62" t="n"/>
      <c r="I146" s="62" t="n"/>
    </row>
    <row r="147" ht="14" customHeight="1" s="304">
      <c r="B147" s="62" t="n"/>
      <c r="C147" s="62" t="n"/>
      <c r="D147" s="62" t="n"/>
      <c r="E147" s="62" t="n"/>
      <c r="F147" s="62" t="n"/>
      <c r="G147" s="168" t="n"/>
      <c r="H147" s="62" t="n"/>
      <c r="I147" s="62" t="n"/>
    </row>
    <row r="148" ht="14" customHeight="1" s="304">
      <c r="B148" s="62" t="n"/>
      <c r="C148" s="62" t="n"/>
      <c r="D148" s="62" t="n"/>
      <c r="E148" s="62" t="n"/>
      <c r="F148" s="62" t="n"/>
      <c r="G148" s="168" t="n"/>
      <c r="H148" s="62" t="n"/>
      <c r="I148" s="62" t="n"/>
    </row>
    <row r="149" ht="14" customHeight="1" s="304">
      <c r="B149" s="62" t="n"/>
      <c r="C149" s="62" t="n"/>
      <c r="D149" s="62" t="n"/>
      <c r="E149" s="62" t="n"/>
      <c r="F149" s="62" t="n"/>
      <c r="G149" s="168" t="n"/>
      <c r="H149" s="62" t="n"/>
      <c r="I149" s="62"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E151" s="62" t="n"/>
      <c r="F151" s="449" t="inlineStr">
        <is>
          <t>Total</t>
        </is>
      </c>
      <c r="G151" s="454" t="inlineStr">
        <is>
          <t>Card/pay</t>
        </is>
      </c>
      <c r="H151" s="62" t="n"/>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ht="14" customHeight="1" s="304">
      <c r="B152" s="62" t="n"/>
      <c r="C152" s="62" t="n"/>
      <c r="D152" s="62" t="n"/>
      <c r="E152" s="62" t="n"/>
      <c r="F152" s="168" t="n"/>
      <c r="G152" s="168" t="n"/>
      <c r="H152" s="62" t="n"/>
      <c r="I152" s="62" t="n"/>
      <c r="J152" s="461" t="n"/>
      <c r="M152" s="461" t="n"/>
      <c r="P152" s="461" t="n"/>
      <c r="S152" s="461" t="n"/>
      <c r="V152" s="461" t="n"/>
      <c r="Y152" s="461" t="n"/>
    </row>
    <row r="153" ht="14" customHeight="1" s="304">
      <c r="B153" s="62" t="n"/>
      <c r="C153" s="62" t="n"/>
      <c r="D153" s="62" t="n"/>
      <c r="E153" s="62" t="n"/>
      <c r="F153" s="168" t="n"/>
      <c r="G153" s="168" t="n"/>
      <c r="H153" s="62" t="n"/>
      <c r="I153" s="62" t="n"/>
      <c r="J153" s="461" t="n"/>
      <c r="M153" s="461" t="n"/>
      <c r="P153" s="461" t="n"/>
      <c r="S153" s="461" t="n"/>
      <c r="V153" s="461" t="n"/>
      <c r="Y153" s="461" t="n"/>
    </row>
    <row r="154" ht="14" customHeight="1" s="304">
      <c r="B154" s="62" t="n"/>
      <c r="C154" s="62" t="n"/>
      <c r="D154" s="62" t="n"/>
      <c r="E154" s="62" t="n"/>
      <c r="F154" s="168" t="n"/>
      <c r="G154" s="168" t="n"/>
      <c r="H154" s="62" t="n"/>
      <c r="I154" s="62" t="n"/>
      <c r="J154" s="461" t="n"/>
      <c r="M154" s="461" t="n"/>
      <c r="P154" s="461" t="n"/>
      <c r="S154" s="461" t="n"/>
      <c r="V154" s="461" t="n"/>
      <c r="Y154" s="461" t="n"/>
    </row>
    <row r="155" ht="14" customHeight="1" s="304">
      <c r="B155" s="62" t="n"/>
      <c r="C155" s="62" t="n"/>
      <c r="D155" s="62" t="n"/>
      <c r="E155" s="62" t="n"/>
      <c r="F155" s="168" t="n"/>
      <c r="G155" s="168" t="n"/>
      <c r="H155" s="62" t="n"/>
      <c r="I155" s="62" t="n"/>
      <c r="J155" s="461" t="n"/>
      <c r="M155" s="461" t="n"/>
      <c r="P155" s="461" t="n"/>
      <c r="S155" s="461" t="n"/>
      <c r="V155" s="461" t="n"/>
      <c r="Y155" s="461" t="n"/>
    </row>
    <row r="156" ht="14" customHeight="1" s="304">
      <c r="B156" s="62" t="n"/>
      <c r="C156" s="62" t="n"/>
      <c r="D156" s="62" t="n"/>
      <c r="E156" s="62" t="n"/>
      <c r="F156" s="168" t="n"/>
      <c r="G156" s="168" t="n"/>
      <c r="H156" s="62" t="n"/>
      <c r="I156" s="62" t="n"/>
      <c r="J156" s="461" t="n"/>
      <c r="M156" s="461" t="n"/>
      <c r="P156" s="461" t="n"/>
      <c r="S156" s="461" t="n"/>
      <c r="V156" s="461" t="n"/>
      <c r="Y156" s="461" t="n"/>
    </row>
    <row r="157" ht="14" customHeight="1" s="304">
      <c r="C157" s="50" t="n"/>
      <c r="D157" s="51" t="n"/>
      <c r="E157" s="51" t="n"/>
      <c r="F157" s="49"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AD3:AE3"/>
    <mergeCell ref="AF3:AG3"/>
    <mergeCell ref="AX4:AY4"/>
    <mergeCell ref="F22:G23"/>
    <mergeCell ref="AH3:AI3"/>
    <mergeCell ref="AN3:AO3"/>
    <mergeCell ref="BH4:BI4"/>
    <mergeCell ref="I17:I19"/>
    <mergeCell ref="BJ4:BK4"/>
    <mergeCell ref="AP3:AQ3"/>
    <mergeCell ref="BB3:BC3"/>
    <mergeCell ref="B47:I47"/>
    <mergeCell ref="V3:W3"/>
    <mergeCell ref="N4:O4"/>
    <mergeCell ref="B150:I150"/>
    <mergeCell ref="AB4:AC4"/>
    <mergeCell ref="R4:S4"/>
    <mergeCell ref="T4:U4"/>
    <mergeCell ref="AT3:AU3"/>
    <mergeCell ref="BD3:BE3"/>
    <mergeCell ref="BF3:BG3"/>
    <mergeCell ref="L3:M3"/>
    <mergeCell ref="N3:O3"/>
    <mergeCell ref="BP4:BQ4"/>
    <mergeCell ref="BH3:BI3"/>
    <mergeCell ref="BN3:BO3"/>
    <mergeCell ref="V4:W4"/>
    <mergeCell ref="BP3:BQ3"/>
    <mergeCell ref="AH4:AI4"/>
    <mergeCell ref="BR3:BS3"/>
    <mergeCell ref="AN4:AO4"/>
    <mergeCell ref="AV3:AW3"/>
    <mergeCell ref="X3:Y3"/>
    <mergeCell ref="AR4:AS4"/>
    <mergeCell ref="I22:I27"/>
    <mergeCell ref="Z3:AA3"/>
    <mergeCell ref="AZ4:BA4"/>
    <mergeCell ref="AT4:AU4"/>
    <mergeCell ref="AV4:AW4"/>
    <mergeCell ref="BB4:BC4"/>
    <mergeCell ref="J4:K4"/>
    <mergeCell ref="BD4:BE4"/>
    <mergeCell ref="L4:M4"/>
    <mergeCell ref="AJ3:AK3"/>
    <mergeCell ref="BF4:BG4"/>
    <mergeCell ref="BL4:BM4"/>
    <mergeCell ref="AL3:AM3"/>
    <mergeCell ref="BN4:BO4"/>
    <mergeCell ref="AF4:AG4"/>
    <mergeCell ref="F26:G39"/>
    <mergeCell ref="R3:S3"/>
    <mergeCell ref="I6:I16"/>
    <mergeCell ref="X4:Y4"/>
    <mergeCell ref="J3:K3"/>
    <mergeCell ref="BR4:BS4"/>
    <mergeCell ref="Z4:AA4"/>
    <mergeCell ref="BJ3:BK3"/>
    <mergeCell ref="AL4:AM4"/>
    <mergeCell ref="AX3:AY3"/>
    <mergeCell ref="BL3:BM3"/>
    <mergeCell ref="AZ3:BA3"/>
    <mergeCell ref="AJ4:AK4"/>
    <mergeCell ref="P3:Q3"/>
    <mergeCell ref="F18:G19"/>
    <mergeCell ref="AR3:AS3"/>
    <mergeCell ref="T3:U3"/>
    <mergeCell ref="AD4:AE4"/>
    <mergeCell ref="AP4:AQ4"/>
    <mergeCell ref="AB3:AC3"/>
    <mergeCell ref="I30:I31"/>
  </mergeCells>
  <conditionalFormatting sqref="A128:A156 J128:XFD156">
    <cfRule type="cellIs" priority="106" operator="equal" dxfId="0" stopIfTrue="1">
      <formula>"Sun"</formula>
    </cfRule>
    <cfRule type="cellIs" priority="105" operator="equal" dxfId="5" stopIfTrue="1">
      <formula>"Sat"</formula>
    </cfRule>
  </conditionalFormatting>
  <conditionalFormatting sqref="A1:H2 A3:I4 A5:A44 A45:XFD45 A46:A116 A119:A126 B5:H5 B35:E44 E19:E34 F6:G14 F17:G17 F20:G21 F22 F25:F26 F40:G44 F57:XFD57 G52:XFD56 H6:H44 I2 I5:I6 I9 I42:I44 J5:BS16 J58:XFD116 J119:XFD126 BT1:IV44">
    <cfRule type="cellIs" priority="726" operator="equal" dxfId="0" stopIfTrue="1">
      <formula>"Sun"</formula>
    </cfRule>
  </conditionalFormatting>
  <conditionalFormatting sqref="A1:H2 A3:I4 A5:A44 A45:XFD45 A46:A116 A119:A126 B5:H5 B35:E44 E19:E34 F6:G14 F17:G17 F20:G21 F22 F25:F26 F40:G44 F57:XFD57 G52:XFD56 H6:H44 I2 I5:I6 I9 J5:BS16 J58:XFD116 J119:XFD126 BT1:IV44">
    <cfRule type="cellIs" priority="725" operator="equal" dxfId="5" stopIfTrue="1">
      <formula>"Sat"</formula>
    </cfRule>
  </conditionalFormatting>
  <conditionalFormatting sqref="A157:XFD65566">
    <cfRule type="cellIs" priority="90" operator="equal" dxfId="0" stopIfTrue="1">
      <formula>"Sun"</formula>
    </cfRule>
    <cfRule type="cellIs" priority="89" operator="equal" dxfId="5" stopIfTrue="1">
      <formula>"Sat"</formula>
    </cfRule>
  </conditionalFormatting>
  <conditionalFormatting sqref="B18:B34">
    <cfRule type="cellIs" priority="490" operator="equal" dxfId="0" stopIfTrue="1">
      <formula>"Sun"</formula>
    </cfRule>
    <cfRule type="cellIs" priority="489" operator="equal" dxfId="5" stopIfTrue="1">
      <formula>"Sat"</formula>
    </cfRule>
  </conditionalFormatting>
  <conditionalFormatting sqref="B6:E17">
    <cfRule type="cellIs" priority="576" operator="equal" dxfId="0" stopIfTrue="1">
      <formula>"Sun"</formula>
    </cfRule>
    <cfRule type="cellIs" priority="575" operator="equal" dxfId="5" stopIfTrue="1">
      <formula>"Sat"</formula>
    </cfRule>
  </conditionalFormatting>
  <conditionalFormatting sqref="B46:XFD47 F48:XFD51">
    <cfRule type="cellIs" priority="519" operator="equal" dxfId="5" stopIfTrue="1">
      <formula>"Sat"</formula>
    </cfRule>
    <cfRule type="cellIs" priority="520" operator="equal" dxfId="0" stopIfTrue="1">
      <formula>"Sun"</formula>
    </cfRule>
  </conditionalFormatting>
  <conditionalFormatting sqref="C26:C27">
    <cfRule type="cellIs" priority="21" operator="equal" dxfId="5" stopIfTrue="1">
      <formula>"Sat"</formula>
    </cfRule>
    <cfRule type="cellIs" priority="22" operator="equal" dxfId="0" stopIfTrue="1">
      <formula>"Sun"</formula>
    </cfRule>
  </conditionalFormatting>
  <conditionalFormatting sqref="C29:C30">
    <cfRule type="cellIs" priority="19" operator="equal" dxfId="5" stopIfTrue="1">
      <formula>"Sat"</formula>
    </cfRule>
    <cfRule type="cellIs" priority="20" operator="equal" dxfId="0" stopIfTrue="1">
      <formula>"Sun"</formula>
    </cfRule>
  </conditionalFormatting>
  <conditionalFormatting sqref="C19:D19">
    <cfRule type="cellIs" priority="41" operator="equal" dxfId="5" stopIfTrue="1">
      <formula>"Sat"</formula>
    </cfRule>
    <cfRule type="cellIs" priority="42" operator="equal" dxfId="0" stopIfTrue="1">
      <formula>"Sun"</formula>
    </cfRule>
  </conditionalFormatting>
  <conditionalFormatting sqref="C21:D22">
    <cfRule type="cellIs" priority="17" operator="equal" dxfId="5" stopIfTrue="1">
      <formula>"Sat"</formula>
    </cfRule>
    <cfRule type="cellIs" priority="18" operator="equal" dxfId="0" stopIfTrue="1">
      <formula>"Sun"</formula>
    </cfRule>
  </conditionalFormatting>
  <conditionalFormatting sqref="C24:D24">
    <cfRule type="cellIs" priority="25" operator="equal" dxfId="5" stopIfTrue="1">
      <formula>"Sat"</formula>
    </cfRule>
    <cfRule type="cellIs" priority="26" operator="equal" dxfId="0" stopIfTrue="1">
      <formula>"Sun"</formula>
    </cfRule>
  </conditionalFormatting>
  <conditionalFormatting sqref="C31:D34">
    <cfRule type="cellIs" priority="146" operator="equal" dxfId="0" stopIfTrue="1">
      <formula>"Sun"</formula>
    </cfRule>
    <cfRule type="cellIs" priority="145" operator="equal" dxfId="5" stopIfTrue="1">
      <formula>"Sat"</formula>
    </cfRule>
  </conditionalFormatting>
  <conditionalFormatting sqref="C18:F18">
    <cfRule type="cellIs" priority="23" operator="equal" dxfId="5" stopIfTrue="1">
      <formula>"Sat"</formula>
    </cfRule>
    <cfRule type="cellIs" priority="24" operator="equal" dxfId="0" stopIfTrue="1">
      <formula>"Sun"</formula>
    </cfRule>
  </conditionalFormatting>
  <conditionalFormatting sqref="D26:D28">
    <cfRule type="cellIs" priority="366" operator="equal" dxfId="0" stopIfTrue="1">
      <formula>"Sun"</formula>
    </cfRule>
    <cfRule type="cellIs" priority="365" operator="equal" dxfId="5" stopIfTrue="1">
      <formula>"Sat"</formula>
    </cfRule>
  </conditionalFormatting>
  <conditionalFormatting sqref="I20:I37">
    <cfRule type="cellIs" priority="667" operator="equal" dxfId="5" stopIfTrue="1">
      <formula>"Sat"</formula>
    </cfRule>
    <cfRule type="cellIs" priority="668" operator="equal" dxfId="0" stopIfTrue="1">
      <formula>"Sun"</formula>
    </cfRule>
  </conditionalFormatting>
  <conditionalFormatting sqref="I17:BS17">
    <cfRule type="cellIs" priority="177" operator="equal" dxfId="5" stopIfTrue="1">
      <formula>"Sat"</formula>
    </cfRule>
    <cfRule type="cellIs" priority="178" operator="equal" dxfId="0" stopIfTrue="1">
      <formula>"Sun"</formula>
    </cfRule>
  </conditionalFormatting>
  <conditionalFormatting sqref="I42:BS44">
    <cfRule type="cellIs" priority="191" operator="equal" dxfId="5" stopIfTrue="1">
      <formula>"Sat"</formula>
    </cfRule>
  </conditionalFormatting>
  <conditionalFormatting sqref="J39:J40">
    <cfRule type="cellIs" priority="34" operator="equal" dxfId="0" stopIfTrue="1">
      <formula>"Sun"</formula>
    </cfRule>
  </conditionalFormatting>
  <conditionalFormatting sqref="J22:AO26">
    <cfRule type="cellIs" priority="4" operator="equal" dxfId="0" stopIfTrue="1">
      <formula>"Sun"</formula>
    </cfRule>
    <cfRule type="cellIs" priority="3" operator="equal" dxfId="5" stopIfTrue="1">
      <formula>"Sat"</formula>
    </cfRule>
  </conditionalFormatting>
  <conditionalFormatting sqref="J37:BQ37 J38:BS38">
    <cfRule type="cellIs" priority="180" operator="equal" dxfId="0" stopIfTrue="1">
      <formula>"Sun"</formula>
    </cfRule>
  </conditionalFormatting>
  <conditionalFormatting sqref="J27:BR36">
    <cfRule type="cellIs" priority="6" operator="equal" dxfId="0" stopIfTrue="1">
      <formula>"Sun"</formula>
    </cfRule>
    <cfRule type="cellIs" priority="5" operator="equal" dxfId="5" stopIfTrue="1">
      <formula>"Sat"</formula>
    </cfRule>
  </conditionalFormatting>
  <conditionalFormatting sqref="J18:BS21">
    <cfRule type="cellIs" priority="219" operator="equal" dxfId="5" stopIfTrue="1">
      <formula>"Sat"</formula>
    </cfRule>
    <cfRule type="cellIs" priority="220" operator="equal" dxfId="0" stopIfTrue="1">
      <formula>"Sun"</formula>
    </cfRule>
  </conditionalFormatting>
  <conditionalFormatting sqref="J37:BQ37 J38:BS41">
    <cfRule type="cellIs" priority="179" operator="equal" dxfId="5" stopIfTrue="1">
      <formula>"Sat"</formula>
    </cfRule>
  </conditionalFormatting>
  <conditionalFormatting sqref="J39:BS44">
    <cfRule type="cellIs" priority="192" operator="equal" dxfId="0" stopIfTrue="1">
      <formula>"Sun"</formula>
    </cfRule>
  </conditionalFormatting>
  <conditionalFormatting sqref="Z37:AA37">
    <cfRule type="cellIs" priority="32" operator="equal" dxfId="5" stopIfTrue="1">
      <formula>"Sat"</formula>
    </cfRule>
    <cfRule type="cellIs" priority="33" operator="equal" dxfId="0" stopIfTrue="1">
      <formula>"Sun"</formula>
    </cfRule>
  </conditionalFormatting>
  <conditionalFormatting sqref="Z39:AA39">
    <cfRule type="cellIs" priority="29" operator="equal" dxfId="0" stopIfTrue="1">
      <formula>"Sun"</formula>
    </cfRule>
  </conditionalFormatting>
  <conditionalFormatting sqref="AP23:BR26">
    <cfRule type="cellIs" priority="8" operator="equal" dxfId="0" stopIfTrue="1">
      <formula>"Sun"</formula>
    </cfRule>
    <cfRule type="cellIs" priority="7" operator="equal" dxfId="5" stopIfTrue="1">
      <formula>"Sat"</formula>
    </cfRule>
  </conditionalFormatting>
  <conditionalFormatting sqref="AP22:BS22">
    <cfRule type="cellIs" priority="187" operator="equal" dxfId="5" stopIfTrue="1">
      <formula>"Sat"</formula>
    </cfRule>
    <cfRule type="cellIs" priority="188" operator="equal" dxfId="0" stopIfTrue="1">
      <formula>"Sun"</formula>
    </cfRule>
  </conditionalFormatting>
  <conditionalFormatting sqref="BR37:BS37">
    <cfRule type="cellIs" priority="12" operator="equal" dxfId="0" stopIfTrue="1">
      <formula>"Sun"</formula>
    </cfRule>
    <cfRule type="cellIs" priority="11" operator="equal" dxfId="5" stopIfTrue="1">
      <formula>"Sat"</formula>
    </cfRule>
  </conditionalFormatting>
  <conditionalFormatting sqref="BS23:BS36">
    <cfRule type="cellIs" priority="2" operator="equal" dxfId="0" stopIfTrue="1">
      <formula>"Sun"</formula>
    </cfRule>
    <cfRule type="cellIs" priority="1" operator="equal" dxfId="5" stopIfTrue="1">
      <formula>"Sat"</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9.xml><?xml version="1.0" encoding="utf-8"?>
<worksheet xmlns="http://schemas.openxmlformats.org/spreadsheetml/2006/main">
  <sheetPr>
    <tabColor indexed="17"/>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BD20" sqref="BD20"/>
    </sheetView>
  </sheetViews>
  <sheetFormatPr baseColWidth="8" defaultColWidth="8.90625" defaultRowHeight="13.5"/>
  <cols>
    <col width="1.08984375" customWidth="1" style="1" min="1" max="1"/>
    <col width="27" bestFit="1" customWidth="1" style="1" min="2" max="2"/>
    <col width="12.7265625" bestFit="1" customWidth="1" style="55" min="3" max="3"/>
    <col width="14" bestFit="1" customWidth="1" style="55" min="4" max="4"/>
    <col width="1.6328125" customWidth="1" style="55" min="5" max="5"/>
    <col width="29" customWidth="1" style="55" min="6" max="6"/>
    <col width="7.36328125" customWidth="1" style="55" min="7" max="7"/>
    <col width="1.6328125" customWidth="1" style="55" min="8" max="8"/>
    <col width="25" customWidth="1" style="55" min="9" max="9"/>
    <col width="10.08984375" customWidth="1" style="1" min="10" max="10"/>
    <col width="11" bestFit="1" customWidth="1" style="1" min="11" max="11"/>
    <col width="10.08984375" customWidth="1" style="1" min="12" max="12"/>
    <col width="11" bestFit="1"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5.90625" bestFit="1" customWidth="1" style="1" min="22" max="22"/>
    <col width="12.6328125" bestFit="1" customWidth="1" style="1" min="23" max="23"/>
    <col width="8.90625" bestFit="1"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4"/>
    <col width="11" bestFit="1" customWidth="1" style="1" min="35" max="35"/>
    <col width="8.90625" customWidth="1" style="1" min="36" max="48"/>
    <col width="11.6328125" bestFit="1" customWidth="1" style="1" min="49" max="49"/>
    <col width="8.90625" customWidth="1" style="1" min="50" max="50"/>
    <col width="11" bestFit="1" customWidth="1" style="1" min="51" max="51"/>
    <col width="8.90625" customWidth="1" style="1" min="52" max="54"/>
    <col width="10" bestFit="1" customWidth="1" style="1" min="55" max="55"/>
    <col width="8.90625" customWidth="1" style="1" min="56" max="60"/>
    <col width="11" bestFit="1" customWidth="1" style="1" min="61" max="61"/>
    <col width="8.90625" customWidth="1" style="1" min="62" max="63"/>
    <col width="12.08984375" bestFit="1" customWidth="1" style="1" min="64" max="64"/>
    <col width="9.36328125" bestFit="1" customWidth="1" style="1" min="65" max="65"/>
    <col width="8.90625" customWidth="1" style="1" min="66" max="66"/>
    <col width="10" bestFit="1" customWidth="1" style="1" min="67" max="67"/>
    <col width="8.90625" customWidth="1" style="1" min="68" max="68"/>
    <col width="10" bestFit="1" customWidth="1" style="1" min="69" max="69"/>
    <col width="10.08984375"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196">
        <f>IF(B1="","",DATE(YEAR(B1),MONTH(B1)+1,DAY(B1)-1))</f>
        <v/>
      </c>
      <c r="D1" s="196" t="n"/>
    </row>
    <row r="2" ht="25.5" customHeight="1" s="304" thickBot="1">
      <c r="B2" s="88">
        <f>IF('Annual Summary'!F5="","",'Annual Summary'!F5)</f>
        <v/>
      </c>
      <c r="C2" s="197" t="inlineStr">
        <is>
          <t>/</t>
        </is>
      </c>
      <c r="D2" s="198" t="n">
        <v>8</v>
      </c>
      <c r="E2" s="199" t="inlineStr">
        <is>
          <t>Monthly Household Income &amp; Expenses</t>
        </is>
      </c>
      <c r="F2" s="197" t="n"/>
      <c r="I2" s="200"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f>IF(BP2="","",IF(BP2&gt;=$C$1,"",BP2+1))</f>
        <v/>
      </c>
      <c r="BS2" s="96">
        <f>IF(BR2="","",TEXT(BR2,"ddd"))</f>
        <v/>
      </c>
    </row>
    <row r="3" ht="17.25" customHeight="1" s="304" thickBot="1">
      <c r="B3" s="91" t="n"/>
      <c r="C3" s="197" t="n"/>
      <c r="D3" s="201" t="n"/>
      <c r="E3" s="199" t="n"/>
      <c r="F3" s="197" t="n"/>
      <c r="I3" s="202"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197" t="n"/>
      <c r="D4" s="201" t="n"/>
      <c r="E4" s="199" t="n"/>
      <c r="F4" s="203" t="inlineStr">
        <is>
          <t>Back to Annual Summary</t>
        </is>
      </c>
      <c r="I4" s="204"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205"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n"/>
      <c r="BS5" s="107" t="n"/>
    </row>
    <row r="6" ht="17.25" customHeight="1" s="304" thickBot="1">
      <c r="B6" s="108" t="inlineStr">
        <is>
          <t>Income This Month</t>
        </is>
      </c>
      <c r="F6" s="206"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RMB</t>
        </is>
      </c>
      <c r="C7" s="207" t="inlineStr">
        <is>
          <t>Amount</t>
        </is>
      </c>
      <c r="D7" s="208" t="inlineStr">
        <is>
          <t>Date Received</t>
        </is>
      </c>
      <c r="F7" s="209" t="inlineStr">
        <is>
          <t>Item</t>
        </is>
      </c>
      <c r="G7" s="210"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211" t="n"/>
      <c r="D8" s="421" t="n"/>
      <c r="E8" s="422" t="n"/>
      <c r="F8" s="423" t="inlineStr">
        <is>
          <t>Food (Meals)</t>
        </is>
      </c>
      <c r="G8" s="424">
        <f>SUM(J21:BS21)</f>
        <v/>
      </c>
      <c r="H8" s="216" t="n"/>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211" t="n"/>
      <c r="D9" s="425" t="n"/>
      <c r="E9" s="422" t="n"/>
      <c r="F9" s="423" t="inlineStr">
        <is>
          <t>Household Goods Total</t>
        </is>
      </c>
      <c r="G9" s="424">
        <f>SUM(J22:BS27)</f>
        <v/>
      </c>
      <c r="H9" s="216" t="n"/>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56" t="n"/>
      <c r="D10" s="425" t="n"/>
      <c r="E10" s="422" t="n"/>
      <c r="F10" s="423" t="inlineStr">
        <is>
          <t>Education &amp; Enrichment</t>
        </is>
      </c>
      <c r="G10" s="424">
        <f>SUM(J28:BS28)</f>
        <v/>
      </c>
      <c r="H10" s="216" t="n"/>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426" t="n"/>
      <c r="C11" s="219" t="n"/>
      <c r="D11" s="427" t="n"/>
      <c r="E11" s="422" t="n"/>
      <c r="F11" s="428" t="inlineStr">
        <is>
          <t>All Other Items Total</t>
        </is>
      </c>
      <c r="G11" s="424">
        <f>SUM(J30:BS41)</f>
        <v/>
      </c>
      <c r="H11" s="216" t="n"/>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222">
        <f>SUM(C8:C11)</f>
        <v/>
      </c>
      <c r="D12" s="429" t="n"/>
      <c r="E12" s="422" t="n"/>
      <c r="F12" s="430" t="inlineStr">
        <is>
          <t>Total Living Expenses</t>
        </is>
      </c>
      <c r="G12" s="431">
        <f>SUM(G8:G11)+SUM(J29:BS29)</f>
        <v/>
      </c>
      <c r="H12" s="216" t="n"/>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C13" s="216" t="n"/>
      <c r="D13" s="216" t="n"/>
      <c r="E13" s="216" t="n"/>
      <c r="F13" s="216" t="n"/>
      <c r="G13" s="216" t="n"/>
      <c r="H13" s="216"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C14" s="216" t="n"/>
      <c r="D14" s="216" t="n"/>
      <c r="E14" s="216" t="n"/>
      <c r="F14" s="216" t="n"/>
      <c r="G14" s="216" t="n"/>
      <c r="H14" s="216"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C15" s="216" t="n"/>
      <c r="D15" s="216" t="n"/>
      <c r="E15" s="216" t="n"/>
      <c r="F15" s="216" t="n"/>
      <c r="G15" s="216" t="n"/>
      <c r="H15" s="216" t="n"/>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C16" s="216" t="n"/>
      <c r="D16" s="216" t="n"/>
      <c r="E16" s="216" t="n"/>
      <c r="F16" s="216" t="n"/>
      <c r="G16" s="216" t="n"/>
      <c r="H16" s="216" t="n"/>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226" t="inlineStr">
        <is>
          <t>Amount</t>
        </is>
      </c>
      <c r="D17" s="227" t="inlineStr">
        <is>
          <t>Date Paid</t>
        </is>
      </c>
      <c r="E17" s="216" t="n"/>
      <c r="F17" s="228" t="inlineStr">
        <is>
          <t>Balance This Month</t>
        </is>
      </c>
      <c r="G17" s="216" t="n"/>
      <c r="H17" s="216" t="n"/>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E18" s="216" t="n"/>
      <c r="F18" s="333">
        <f>C12-C39-G12+SUM(J43:BS43)</f>
        <v/>
      </c>
      <c r="G18" s="321" t="n"/>
      <c r="H18" s="216"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E19" s="216" t="n"/>
      <c r="F19" s="322" t="n"/>
      <c r="G19" s="323" t="n"/>
      <c r="H19" s="216"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E20" s="216" t="n"/>
      <c r="F20" s="216" t="n"/>
      <c r="G20" s="216" t="n"/>
      <c r="H20" s="216" t="n"/>
      <c r="I20" s="122"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E21" s="216" t="n"/>
      <c r="F21" s="228" t="inlineStr">
        <is>
          <t>Cumulative Balance</t>
        </is>
      </c>
      <c r="G21" s="216" t="n"/>
      <c r="H21" s="216" t="n"/>
      <c r="I21" s="229"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E22" s="216" t="n"/>
      <c r="F22" s="333">
        <f>F18+Jul!F22</f>
        <v/>
      </c>
      <c r="G22" s="321" t="n"/>
      <c r="H22" s="216"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E23" s="216" t="n"/>
      <c r="F23" s="322" t="n"/>
      <c r="G23" s="323" t="n"/>
      <c r="H23" s="216"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E24" s="216" t="n"/>
      <c r="F24" s="230" t="n"/>
      <c r="G24" s="230" t="n"/>
      <c r="H24" s="216"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E25" s="216" t="n"/>
      <c r="F25" s="228" t="inlineStr">
        <is>
          <t>Notes This Month</t>
        </is>
      </c>
      <c r="G25" s="230" t="n"/>
      <c r="H25" s="216"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E26" s="216" t="n"/>
      <c r="F26" s="334" t="n"/>
      <c r="G26" s="327" t="n"/>
      <c r="H26" s="216"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E27" s="216" t="n"/>
      <c r="F27" s="328" t="n"/>
      <c r="G27" s="329" t="n"/>
      <c r="H27" s="216"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E28" s="216" t="n"/>
      <c r="F28" s="328" t="n"/>
      <c r="G28" s="329" t="n"/>
      <c r="H28" s="216" t="n"/>
      <c r="I28" s="231"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E29" s="216" t="n"/>
      <c r="F29" s="328" t="n"/>
      <c r="G29" s="329" t="n"/>
      <c r="H29" s="216" t="n"/>
      <c r="I29" s="232" t="inlineStr">
        <is>
          <t>Fuel</t>
        </is>
      </c>
      <c r="J29" s="369" t="n"/>
      <c r="K29" s="370" t="n"/>
      <c r="L29" s="371" t="n"/>
      <c r="M29" s="370" t="n"/>
      <c r="N29" s="371" t="n"/>
      <c r="O29" s="370" t="n"/>
      <c r="P29" s="37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E30" s="216" t="n"/>
      <c r="F30" s="328" t="n"/>
      <c r="G30" s="329" t="n"/>
      <c r="H30" s="216"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1" t="n"/>
      <c r="BQ30" s="370" t="n"/>
      <c r="BR30" s="371" t="n"/>
      <c r="BS30" s="373" t="n"/>
    </row>
    <row r="31" ht="17.25" customFormat="1" customHeight="1" s="4">
      <c r="B31" s="153" t="inlineStr">
        <is>
          <t>Housing Management Fee</t>
        </is>
      </c>
      <c r="C31" s="370" t="n"/>
      <c r="D31" s="149" t="n"/>
      <c r="E31" s="216" t="n"/>
      <c r="F31" s="328" t="n"/>
      <c r="G31" s="329" t="n"/>
      <c r="H31" s="216"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E32" s="216" t="n"/>
      <c r="F32" s="328" t="n"/>
      <c r="G32" s="329" t="n"/>
      <c r="H32" s="216" t="n"/>
      <c r="I32" s="311"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432" t="n"/>
      <c r="D33" s="233" t="n"/>
      <c r="E33" s="216" t="n"/>
      <c r="F33" s="328" t="n"/>
      <c r="G33" s="329" t="n"/>
      <c r="H33" s="216" t="n"/>
      <c r="I33" s="234"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432" t="n"/>
      <c r="D34" s="233" t="n"/>
      <c r="E34" s="216" t="n"/>
      <c r="F34" s="328" t="n"/>
      <c r="G34" s="329" t="n"/>
      <c r="H34" s="216" t="n"/>
      <c r="I34" s="324"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235" t="n"/>
      <c r="D35" s="233" t="n"/>
      <c r="E35" s="216" t="n"/>
      <c r="F35" s="328" t="n"/>
      <c r="G35" s="329" t="n"/>
      <c r="H35" s="216" t="n"/>
      <c r="I35" s="324"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2"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235" t="n"/>
      <c r="D36" s="233" t="n"/>
      <c r="E36" s="216" t="n"/>
      <c r="F36" s="328" t="n"/>
      <c r="G36" s="329" t="n"/>
      <c r="H36" s="216" t="n"/>
      <c r="I36" s="324"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235" t="n"/>
      <c r="D37" s="233" t="n"/>
      <c r="E37" s="216" t="n"/>
      <c r="F37" s="328" t="n"/>
      <c r="G37" s="329" t="n"/>
      <c r="H37" s="216" t="n"/>
      <c r="I37" s="122" t="inlineStr">
        <is>
          <t>Other</t>
        </is>
      </c>
      <c r="J37" s="393"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235" t="n"/>
      <c r="D38" s="233" t="n"/>
      <c r="E38" s="216" t="n"/>
      <c r="F38" s="328" t="n"/>
      <c r="G38" s="329" t="n"/>
      <c r="H38" s="216" t="n"/>
      <c r="I38" s="122" t="n"/>
      <c r="J38" s="369"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1"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433">
        <f>SUM(C18:C38)</f>
        <v/>
      </c>
      <c r="D39" s="236" t="n"/>
      <c r="E39" s="216" t="n"/>
      <c r="F39" s="330" t="n"/>
      <c r="G39" s="331" t="n"/>
      <c r="H39" s="216" t="n"/>
      <c r="I39" s="122"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96" t="n"/>
      <c r="AW39" s="52"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C40" s="216" t="n"/>
      <c r="D40" s="216" t="n"/>
      <c r="E40" s="216" t="n"/>
      <c r="F40" s="216" t="n"/>
      <c r="G40" s="216" t="n"/>
      <c r="H40" s="216" t="n"/>
      <c r="I40" s="122"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B41" s="182" t="n"/>
      <c r="C41" s="237" t="n"/>
      <c r="D41" s="237" t="n"/>
      <c r="E41" s="238" t="n"/>
      <c r="F41" s="238" t="n"/>
      <c r="G41" s="216" t="n"/>
      <c r="H41" s="216" t="n"/>
      <c r="I41" s="122"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B42" s="182" t="n"/>
      <c r="C42" s="237" t="n"/>
      <c r="D42" s="237" t="n"/>
      <c r="E42" s="238" t="n"/>
      <c r="F42" s="238" t="n"/>
      <c r="G42" s="216" t="n"/>
      <c r="H42" s="216" t="n"/>
      <c r="I42" s="229"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B43" s="182" t="n"/>
      <c r="C43" s="237" t="n"/>
      <c r="D43" s="237" t="n"/>
      <c r="E43" s="238" t="n"/>
      <c r="F43" s="238" t="n"/>
      <c r="G43" s="216" t="n"/>
      <c r="H43" s="216" t="n"/>
      <c r="I43" s="122"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B44" s="182" t="n"/>
      <c r="C44" s="237" t="n"/>
      <c r="D44" s="237" t="n"/>
      <c r="E44" s="238" t="n"/>
      <c r="F44" s="238" t="n"/>
      <c r="G44" s="216" t="n"/>
      <c r="H44" s="216" t="n"/>
      <c r="I44" s="239"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C45" s="237" t="n"/>
      <c r="D45" s="237" t="n"/>
    </row>
    <row r="46" ht="14" customHeight="1" s="304">
      <c r="C46" s="237" t="n"/>
      <c r="D46" s="237" t="n"/>
    </row>
    <row r="47" ht="40" customHeight="1" s="304">
      <c r="B47" s="448" t="inlineStr">
        <is>
          <t>Transactions this month
One row per posted line. These rows are not included in the totals above. Payments are not listed.</t>
        </is>
      </c>
    </row>
    <row r="48" ht="32" customHeight="1" s="304">
      <c r="B48" s="449" t="inlineStr">
        <is>
          <t>Card</t>
        </is>
      </c>
      <c r="C48" s="453" t="inlineStr">
        <is>
          <t>Trans date</t>
        </is>
      </c>
      <c r="D48" s="454" t="inlineStr">
        <is>
          <t>Post date</t>
        </is>
      </c>
      <c r="E48" s="45" t="n"/>
      <c r="F48" s="449"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45" t="n"/>
      <c r="C49" s="47" t="n"/>
      <c r="D49" s="193" t="n"/>
      <c r="E49" s="45" t="n"/>
      <c r="G49" s="461" t="n"/>
    </row>
    <row r="50" ht="14" customHeight="1" s="304">
      <c r="B50" s="45" t="n"/>
      <c r="C50" s="47" t="n"/>
      <c r="D50" s="168" t="n"/>
      <c r="E50" s="45" t="n"/>
      <c r="F50" s="237" t="n"/>
      <c r="G50" s="461" t="n"/>
    </row>
    <row r="51" ht="14" customHeight="1" s="304">
      <c r="B51" s="45" t="n"/>
      <c r="C51" s="47" t="n"/>
      <c r="D51" s="168" t="n"/>
      <c r="E51" s="45" t="n"/>
      <c r="F51" s="237" t="n"/>
      <c r="G51" s="461" t="n"/>
    </row>
    <row r="52" ht="14" customHeight="1" s="304">
      <c r="B52" s="45" t="n"/>
      <c r="C52" s="47" t="n"/>
      <c r="D52" s="168" t="n"/>
      <c r="E52" s="45" t="n"/>
      <c r="F52" s="240" t="n"/>
      <c r="G52" s="461" t="n"/>
    </row>
    <row r="53" ht="14" customHeight="1" s="304">
      <c r="B53" s="45" t="n"/>
      <c r="C53" s="47" t="n"/>
      <c r="D53" s="168" t="n"/>
      <c r="E53" s="45" t="n"/>
      <c r="F53" s="240" t="n"/>
      <c r="G53" s="461" t="n"/>
    </row>
    <row r="54" ht="14" customHeight="1" s="304">
      <c r="B54" s="45" t="n"/>
      <c r="C54" s="47" t="n"/>
      <c r="D54" s="168" t="n"/>
      <c r="E54" s="45" t="n"/>
      <c r="F54" s="240" t="n"/>
      <c r="G54" s="461" t="n"/>
    </row>
    <row r="55" ht="14" customHeight="1" s="304">
      <c r="B55" s="45" t="n"/>
      <c r="C55" s="47" t="n"/>
      <c r="D55" s="168" t="n"/>
      <c r="E55" s="45" t="n"/>
      <c r="F55" s="240" t="n"/>
      <c r="G55" s="461" t="n"/>
    </row>
    <row r="56" ht="14" customHeight="1" s="304">
      <c r="B56" s="45" t="n"/>
      <c r="C56" s="47" t="n"/>
      <c r="D56" s="168" t="n"/>
      <c r="E56" s="45" t="n"/>
      <c r="F56" s="240" t="n"/>
      <c r="G56" s="461" t="n"/>
    </row>
    <row r="57" ht="14" customHeight="1" s="304">
      <c r="B57" s="45" t="n"/>
      <c r="C57" s="47" t="n"/>
      <c r="D57" s="168" t="n"/>
      <c r="E57" s="45" t="n"/>
      <c r="F57" s="237" t="n"/>
      <c r="G57" s="461" t="n"/>
    </row>
    <row r="58" ht="14" customHeight="1" s="304">
      <c r="B58" s="45" t="n"/>
      <c r="C58" s="47" t="n"/>
      <c r="D58" s="168" t="n"/>
      <c r="E58" s="45" t="n"/>
      <c r="F58" s="237" t="n"/>
      <c r="G58" s="461" t="n"/>
    </row>
    <row r="59" ht="14" customHeight="1" s="304">
      <c r="B59" s="62" t="n"/>
      <c r="C59" s="62" t="n"/>
      <c r="D59" s="193" t="n"/>
      <c r="E59" s="62" t="n"/>
      <c r="F59" s="237" t="n"/>
      <c r="G59" s="461" t="n"/>
    </row>
    <row r="60" ht="14" customHeight="1" s="304">
      <c r="C60" s="237" t="n"/>
      <c r="D60" s="237" t="n"/>
      <c r="F60" s="237" t="n"/>
      <c r="G60" s="461" t="n"/>
    </row>
    <row r="61" ht="14" customHeight="1" s="304">
      <c r="C61" s="237" t="n"/>
      <c r="D61" s="237" t="n"/>
      <c r="F61" s="237" t="n"/>
      <c r="G61" s="461" t="n"/>
    </row>
    <row r="62">
      <c r="G62" s="461" t="n"/>
    </row>
    <row r="63">
      <c r="G63" s="461" t="n"/>
    </row>
    <row r="64">
      <c r="G64" s="461" t="n"/>
    </row>
    <row r="65">
      <c r="G65" s="461" t="n"/>
    </row>
    <row r="66">
      <c r="G66" s="461" t="n"/>
    </row>
    <row r="67">
      <c r="G67" s="461" t="n"/>
    </row>
    <row r="68">
      <c r="G68" s="461" t="n"/>
    </row>
    <row r="69">
      <c r="G69" s="461" t="n"/>
    </row>
    <row r="70">
      <c r="G70" s="461" t="n"/>
    </row>
    <row r="71">
      <c r="G71" s="461" t="n"/>
    </row>
    <row r="72">
      <c r="G72" s="461" t="n"/>
    </row>
    <row r="73">
      <c r="G73" s="461" t="n"/>
    </row>
    <row r="74">
      <c r="G74" s="461" t="n"/>
    </row>
    <row r="75">
      <c r="G75" s="461" t="n"/>
    </row>
    <row r="76">
      <c r="G76" s="461" t="n"/>
    </row>
    <row r="77">
      <c r="G77" s="461" t="n"/>
    </row>
    <row r="78">
      <c r="G78" s="461" t="n"/>
    </row>
    <row r="79">
      <c r="G79" s="461" t="n"/>
    </row>
    <row r="80">
      <c r="G80" s="461" t="n"/>
    </row>
    <row r="81">
      <c r="G81" s="461" t="n"/>
    </row>
    <row r="82">
      <c r="G82" s="461" t="n"/>
    </row>
    <row r="83">
      <c r="G83" s="461" t="n"/>
    </row>
    <row r="84">
      <c r="G84" s="461" t="n"/>
    </row>
    <row r="85">
      <c r="G85" s="461" t="n"/>
    </row>
    <row r="86">
      <c r="G86" s="461" t="n"/>
    </row>
    <row r="87">
      <c r="G87" s="461" t="n"/>
    </row>
    <row r="88">
      <c r="G88" s="461" t="n"/>
    </row>
    <row r="89">
      <c r="G89" s="461" t="n"/>
    </row>
    <row r="90">
      <c r="G90" s="461" t="n"/>
    </row>
    <row r="91">
      <c r="G91" s="461" t="n"/>
    </row>
    <row r="92">
      <c r="G92" s="461" t="n"/>
    </row>
    <row r="93">
      <c r="G93" s="461" t="n"/>
    </row>
    <row r="94">
      <c r="G94" s="461" t="n"/>
    </row>
    <row r="95">
      <c r="G95" s="461" t="n"/>
    </row>
    <row r="96">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AD3:AE3"/>
    <mergeCell ref="AF3:AG3"/>
    <mergeCell ref="AX4:AY4"/>
    <mergeCell ref="F22:G23"/>
    <mergeCell ref="AH3:AI3"/>
    <mergeCell ref="AN3:AO3"/>
    <mergeCell ref="BH4:BI4"/>
    <mergeCell ref="I30:I31"/>
    <mergeCell ref="BJ4:BK4"/>
    <mergeCell ref="AP3:AQ3"/>
    <mergeCell ref="BB3:BC3"/>
    <mergeCell ref="I17:I19"/>
    <mergeCell ref="B47:I47"/>
    <mergeCell ref="B150:I150"/>
    <mergeCell ref="AB4:AC4"/>
    <mergeCell ref="R4:S4"/>
    <mergeCell ref="T4:U4"/>
    <mergeCell ref="AT3:AU3"/>
    <mergeCell ref="L3:M3"/>
    <mergeCell ref="BF3:BG3"/>
    <mergeCell ref="BD3:BE3"/>
    <mergeCell ref="BP4:BQ4"/>
    <mergeCell ref="AH4:AI4"/>
    <mergeCell ref="AN4:AO4"/>
    <mergeCell ref="BH3:BI3"/>
    <mergeCell ref="BN3:BO3"/>
    <mergeCell ref="AV3:AW3"/>
    <mergeCell ref="BP3:BQ3"/>
    <mergeCell ref="BR3:BS3"/>
    <mergeCell ref="N3:O3"/>
    <mergeCell ref="AB3:AC3"/>
    <mergeCell ref="AR4:AS4"/>
    <mergeCell ref="X3:Y3"/>
    <mergeCell ref="I22:I27"/>
    <mergeCell ref="AT4:AU4"/>
    <mergeCell ref="AZ4:BA4"/>
    <mergeCell ref="Z3:AA3"/>
    <mergeCell ref="AV4:AW4"/>
    <mergeCell ref="BB4:BC4"/>
    <mergeCell ref="J4:K4"/>
    <mergeCell ref="BD4:BE4"/>
    <mergeCell ref="AJ3:AK3"/>
    <mergeCell ref="L4:M4"/>
    <mergeCell ref="AL3:AM3"/>
    <mergeCell ref="BL4:BM4"/>
    <mergeCell ref="BF4:BG4"/>
    <mergeCell ref="BN4:BO4"/>
    <mergeCell ref="AF4:AG4"/>
    <mergeCell ref="F26:G39"/>
    <mergeCell ref="R3:S3"/>
    <mergeCell ref="I6:I16"/>
    <mergeCell ref="X4:Y4"/>
    <mergeCell ref="J3:K3"/>
    <mergeCell ref="BR4:BS4"/>
    <mergeCell ref="Z4:AA4"/>
    <mergeCell ref="AJ4:AK4"/>
    <mergeCell ref="BJ3:BK3"/>
    <mergeCell ref="AL4:AM4"/>
    <mergeCell ref="BL3:BM3"/>
    <mergeCell ref="AX3:AY3"/>
    <mergeCell ref="AZ3:BA3"/>
    <mergeCell ref="P3:Q3"/>
    <mergeCell ref="F18:G19"/>
    <mergeCell ref="AP4:AQ4"/>
    <mergeCell ref="AR3:AS3"/>
    <mergeCell ref="V4:W4"/>
    <mergeCell ref="T3:U3"/>
    <mergeCell ref="AD4:AE4"/>
    <mergeCell ref="V3:W3"/>
    <mergeCell ref="N4:O4"/>
  </mergeCells>
  <conditionalFormatting sqref="A1:H2 A3:I4 A5:A61 A62:XFD65468 B5:H5 B35:E40 E19:E21 E23:E34 F6:G14 F17:G17 F20:G21 F25:F26 F40:G40 F46:BQ51 F57:XFD61 G41:G44 G45:BQ45 G52:BQ52 G53:XFD56 H6:H44 I2 I5:I6 I9 J5:BS16">
    <cfRule type="cellIs" priority="785" operator="equal" dxfId="0" stopIfTrue="1">
      <formula>"Sun"</formula>
    </cfRule>
    <cfRule type="cellIs" priority="784" operator="equal" dxfId="5" stopIfTrue="1">
      <formula>"Sat"</formula>
    </cfRule>
  </conditionalFormatting>
  <conditionalFormatting sqref="B18:B32">
    <cfRule type="cellIs" priority="55" operator="equal" dxfId="0" stopIfTrue="1">
      <formula>"Sun"</formula>
    </cfRule>
    <cfRule type="cellIs" priority="54" operator="equal" dxfId="5" stopIfTrue="1">
      <formula>"Sat"</formula>
    </cfRule>
  </conditionalFormatting>
  <conditionalFormatting sqref="B33:D34">
    <cfRule type="cellIs" priority="121" operator="equal" dxfId="0" stopIfTrue="1">
      <formula>"Sun"</formula>
    </cfRule>
    <cfRule type="cellIs" priority="120" operator="equal" dxfId="5" stopIfTrue="1">
      <formula>"Sat"</formula>
    </cfRule>
  </conditionalFormatting>
  <conditionalFormatting sqref="B6:E17">
    <cfRule type="cellIs" priority="782" operator="equal" dxfId="5" stopIfTrue="1">
      <formula>"Sat"</formula>
    </cfRule>
    <cfRule type="cellIs" priority="783" operator="equal" dxfId="0" stopIfTrue="1">
      <formula>"Sun"</formula>
    </cfRule>
  </conditionalFormatting>
  <conditionalFormatting sqref="C27">
    <cfRule type="cellIs" priority="32" operator="equal" dxfId="5" stopIfTrue="1">
      <formula>"Sat"</formula>
    </cfRule>
    <cfRule type="cellIs" priority="33" operator="equal" dxfId="0" stopIfTrue="1">
      <formula>"Sun"</formula>
    </cfRule>
  </conditionalFormatting>
  <conditionalFormatting sqref="C29:C30">
    <cfRule type="cellIs" priority="24" operator="equal" dxfId="5" stopIfTrue="1">
      <formula>"Sat"</formula>
    </cfRule>
    <cfRule type="cellIs" priority="25" operator="equal" dxfId="0" stopIfTrue="1">
      <formula>"Sun"</formula>
    </cfRule>
  </conditionalFormatting>
  <conditionalFormatting sqref="C19:D19">
    <cfRule type="cellIs" priority="44" operator="equal" dxfId="5" stopIfTrue="1">
      <formula>"Sat"</formula>
    </cfRule>
    <cfRule type="cellIs" priority="45" operator="equal" dxfId="0" stopIfTrue="1">
      <formula>"Sun"</formula>
    </cfRule>
  </conditionalFormatting>
  <conditionalFormatting sqref="C21:D21">
    <cfRule type="cellIs" priority="22" operator="equal" dxfId="5" stopIfTrue="1">
      <formula>"Sat"</formula>
    </cfRule>
    <cfRule type="cellIs" priority="23" operator="equal" dxfId="0" stopIfTrue="1">
      <formula>"Sun"</formula>
    </cfRule>
  </conditionalFormatting>
  <conditionalFormatting sqref="C24:D24">
    <cfRule type="cellIs" priority="30" operator="equal" dxfId="5" stopIfTrue="1">
      <formula>"Sat"</formula>
    </cfRule>
    <cfRule type="cellIs" priority="31" operator="equal" dxfId="0" stopIfTrue="1">
      <formula>"Sun"</formula>
    </cfRule>
  </conditionalFormatting>
  <conditionalFormatting sqref="C26:D26">
    <cfRule type="cellIs" priority="46" operator="equal" dxfId="5" stopIfTrue="1">
      <formula>"Sat"</formula>
    </cfRule>
    <cfRule type="cellIs" priority="47" operator="equal" dxfId="0" stopIfTrue="1">
      <formula>"Sun"</formula>
    </cfRule>
  </conditionalFormatting>
  <conditionalFormatting sqref="C31:D32">
    <cfRule type="cellIs" priority="48" operator="equal" dxfId="5" stopIfTrue="1">
      <formula>"Sat"</formula>
    </cfRule>
    <cfRule type="cellIs" priority="49" operator="equal" dxfId="0" stopIfTrue="1">
      <formula>"Sun"</formula>
    </cfRule>
  </conditionalFormatting>
  <conditionalFormatting sqref="C41:E47 C60:E61">
    <cfRule type="cellIs" priority="525" operator="equal" dxfId="0" stopIfTrue="1">
      <formula>"Sun"</formula>
    </cfRule>
    <cfRule type="cellIs" priority="524" operator="equal" dxfId="5" stopIfTrue="1">
      <formula>"Sat"</formula>
    </cfRule>
  </conditionalFormatting>
  <conditionalFormatting sqref="C18:F18">
    <cfRule type="cellIs" priority="26" operator="equal" dxfId="5" stopIfTrue="1">
      <formula>"Sat"</formula>
    </cfRule>
    <cfRule type="cellIs" priority="27" operator="equal" dxfId="0" stopIfTrue="1">
      <formula>"Sun"</formula>
    </cfRule>
  </conditionalFormatting>
  <conditionalFormatting sqref="C22:F22">
    <cfRule type="cellIs" priority="36" operator="equal" dxfId="5" stopIfTrue="1">
      <formula>"Sat"</formula>
    </cfRule>
    <cfRule type="cellIs" priority="37" operator="equal" dxfId="0" stopIfTrue="1">
      <formula>"Sun"</formula>
    </cfRule>
  </conditionalFormatting>
  <conditionalFormatting sqref="D27:D28">
    <cfRule type="cellIs" priority="51" operator="equal" dxfId="0" stopIfTrue="1">
      <formula>"Sun"</formula>
    </cfRule>
    <cfRule type="cellIs" priority="50" operator="equal" dxfId="5" stopIfTrue="1">
      <formula>"Sat"</formula>
    </cfRule>
  </conditionalFormatting>
  <conditionalFormatting sqref="F41:F45">
    <cfRule type="cellIs" priority="580" operator="equal" dxfId="5" stopIfTrue="1">
      <formula>"Sat"</formula>
    </cfRule>
    <cfRule type="cellIs" priority="581" operator="equal" dxfId="0" stopIfTrue="1">
      <formula>"Sun"</formula>
    </cfRule>
  </conditionalFormatting>
  <conditionalFormatting sqref="I20:I37">
    <cfRule type="cellIs" priority="736" operator="equal" dxfId="5" stopIfTrue="1">
      <formula>"Sat"</formula>
    </cfRule>
    <cfRule type="cellIs" priority="737" operator="equal" dxfId="0" stopIfTrue="1">
      <formula>"Sun"</formula>
    </cfRule>
  </conditionalFormatting>
  <conditionalFormatting sqref="I17:BS17">
    <cfRule type="cellIs" priority="152" operator="equal" dxfId="5" stopIfTrue="1">
      <formula>"Sat"</formula>
    </cfRule>
    <cfRule type="cellIs" priority="153" operator="equal" dxfId="0" stopIfTrue="1">
      <formula>"Sun"</formula>
    </cfRule>
  </conditionalFormatting>
  <conditionalFormatting sqref="I42:BS44">
    <cfRule type="cellIs" priority="166" operator="equal" dxfId="5" stopIfTrue="1">
      <formula>"Sat"</formula>
    </cfRule>
    <cfRule type="cellIs" priority="167" operator="equal" dxfId="0" stopIfTrue="1">
      <formula>"Sun"</formula>
    </cfRule>
  </conditionalFormatting>
  <conditionalFormatting sqref="J22:AO26">
    <cfRule type="cellIs" priority="126" operator="equal" dxfId="5" stopIfTrue="1">
      <formula>"Sat"</formula>
    </cfRule>
    <cfRule type="cellIs" priority="127" operator="equal" dxfId="0" stopIfTrue="1">
      <formula>"Sun"</formula>
    </cfRule>
  </conditionalFormatting>
  <conditionalFormatting sqref="J27:BR36">
    <cfRule type="cellIs" priority="2" operator="equal" dxfId="0" stopIfTrue="1">
      <formula>"Sun"</formula>
    </cfRule>
    <cfRule type="cellIs" priority="1" operator="equal" dxfId="5" stopIfTrue="1">
      <formula>"Sat"</formula>
    </cfRule>
  </conditionalFormatting>
  <conditionalFormatting sqref="J18:BS21">
    <cfRule type="cellIs" priority="4" operator="equal" dxfId="0" stopIfTrue="1">
      <formula>"Sun"</formula>
    </cfRule>
    <cfRule type="cellIs" priority="3" operator="equal" dxfId="5" stopIfTrue="1">
      <formula>"Sat"</formula>
    </cfRule>
  </conditionalFormatting>
  <conditionalFormatting sqref="J37:BS41">
    <cfRule type="cellIs" priority="6" operator="equal" dxfId="0" stopIfTrue="1">
      <formula>"Sun"</formula>
    </cfRule>
    <cfRule type="cellIs" priority="5" operator="equal" dxfId="5" stopIfTrue="1">
      <formula>"Sat"</formula>
    </cfRule>
  </conditionalFormatting>
  <conditionalFormatting sqref="AP23:BR26">
    <cfRule type="cellIs" priority="11" operator="equal" dxfId="5" stopIfTrue="1">
      <formula>"Sat"</formula>
    </cfRule>
    <cfRule type="cellIs" priority="12" operator="equal" dxfId="0" stopIfTrue="1">
      <formula>"Sun"</formula>
    </cfRule>
  </conditionalFormatting>
  <conditionalFormatting sqref="AP22:BS22">
    <cfRule type="cellIs" priority="162" operator="equal" dxfId="5" stopIfTrue="1">
      <formula>"Sat"</formula>
    </cfRule>
    <cfRule type="cellIs" priority="163" operator="equal" dxfId="0" stopIfTrue="1">
      <formula>"Sun"</formula>
    </cfRule>
  </conditionalFormatting>
  <conditionalFormatting sqref="BS23:BS36">
    <cfRule type="cellIs" priority="176" operator="equal" dxfId="5" stopIfTrue="1">
      <formula>"Sat"</formula>
    </cfRule>
    <cfRule type="cellIs" priority="177" operator="equal" dxfId="0" stopIfTrue="1">
      <formula>"Sun"</formula>
    </cfRule>
  </conditionalFormatting>
  <conditionalFormatting sqref="BR45:XFD52 BT1:IV44">
    <cfRule type="cellIs" priority="218" operator="equal" dxfId="5" stopIfTrue="1">
      <formula>"Sat"</formula>
    </cfRule>
    <cfRule type="cellIs" priority="219"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10.xml><?xml version="1.0" encoding="utf-8"?>
<worksheet xmlns="http://schemas.openxmlformats.org/spreadsheetml/2006/main">
  <sheetPr>
    <tabColor indexed="56"/>
    <outlinePr summaryBelow="1" summaryRight="1"/>
    <pageSetUpPr/>
  </sheetPr>
  <dimension ref="A1:CG301"/>
  <sheetViews>
    <sheetView showGridLines="0" zoomScale="69" zoomScaleNormal="69"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T20" sqref="T20"/>
    </sheetView>
  </sheetViews>
  <sheetFormatPr baseColWidth="8" defaultColWidth="8.90625" defaultRowHeight="13.5"/>
  <cols>
    <col width="1.08984375" customWidth="1" style="1" min="1" max="1"/>
    <col width="27" customWidth="1" style="1" min="2" max="2"/>
    <col width="13.90625" bestFit="1" customWidth="1" style="1" min="3" max="3"/>
    <col width="14" bestFit="1" customWidth="1" style="1" min="4" max="4"/>
    <col width="1.6328125" customWidth="1" style="1" min="5" max="5"/>
    <col width="29" bestFit="1" customWidth="1" style="1" min="6" max="6"/>
    <col width="10.08984375" bestFit="1" customWidth="1" style="1" min="7" max="7"/>
    <col width="1.6328125" customWidth="1" style="1" min="8" max="8"/>
    <col width="25" customWidth="1" style="1" min="9" max="9"/>
    <col width="10.08984375" customWidth="1" style="1" min="10" max="10"/>
    <col width="13.08984375" bestFit="1" customWidth="1" style="1" min="11" max="11"/>
    <col width="11.36328125" customWidth="1" style="1" min="12" max="12"/>
    <col width="13.08984375" bestFit="1" customWidth="1" style="1" min="13"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3.08984375"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4"/>
    <col width="9.90625" bestFit="1" customWidth="1" style="1" min="35" max="35"/>
    <col width="8.90625" customWidth="1" style="1" min="36" max="38"/>
    <col width="11.36328125" bestFit="1" customWidth="1" style="1" min="39" max="39"/>
    <col width="8.90625" customWidth="1" style="1" min="40" max="40"/>
    <col width="12" bestFit="1" customWidth="1" style="1" min="41" max="41"/>
    <col width="8.90625" customWidth="1" style="1" min="42" max="42"/>
    <col width="12.90625" bestFit="1" customWidth="1" style="1" min="43" max="43"/>
    <col width="8.90625" customWidth="1" style="1" min="44" max="44"/>
    <col width="11" bestFit="1" customWidth="1" style="1" min="45" max="45"/>
    <col width="8.90625" customWidth="1" style="1" min="46" max="46"/>
    <col width="11" bestFit="1" customWidth="1" style="1" min="47" max="47"/>
    <col width="8.90625" customWidth="1" style="1" min="48" max="48"/>
    <col width="11.7265625" bestFit="1" customWidth="1" style="1" min="49" max="49"/>
    <col width="8.90625" customWidth="1" style="1" min="50" max="50"/>
    <col width="11" bestFit="1" customWidth="1" style="1" min="51" max="51"/>
    <col width="8.90625" customWidth="1" style="1" min="52" max="52"/>
    <col width="12.90625" bestFit="1" customWidth="1" style="1" min="53" max="53"/>
    <col width="8.90625" customWidth="1" style="1" min="54" max="54"/>
    <col width="12" bestFit="1" customWidth="1" style="1" min="55" max="55"/>
    <col width="8.90625" customWidth="1" style="1" min="56" max="56"/>
    <col width="12.90625" bestFit="1" customWidth="1" style="1" min="57" max="57"/>
    <col width="8.90625" customWidth="1" style="1" min="58" max="58"/>
    <col width="12.90625" bestFit="1" customWidth="1" style="1" min="59" max="59"/>
    <col width="8.90625" customWidth="1" style="1" min="60" max="60"/>
    <col width="12.90625" bestFit="1" customWidth="1" style="1" min="61" max="61"/>
    <col width="8.90625" customWidth="1" style="1" min="62" max="62"/>
    <col width="12.90625" bestFit="1" customWidth="1" style="1" min="63" max="63"/>
    <col width="8.90625" customWidth="1" style="1" min="64" max="64"/>
    <col width="12.90625" bestFit="1" customWidth="1" style="1" min="65" max="65"/>
    <col width="8.90625" customWidth="1" style="1" min="66" max="66"/>
    <col width="11" bestFit="1" customWidth="1" style="1" min="67" max="67"/>
    <col width="8.90625" customWidth="1" style="1" min="68" max="69"/>
    <col width="10.08984375"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9</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t="n"/>
      <c r="BS2" s="96" t="n"/>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n"/>
      <c r="BS5" s="107" t="n"/>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177"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178"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0"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410"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171">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F18+Aug!F22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71"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71"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1"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2"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93"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B41" s="195" t="n"/>
      <c r="C41" s="195" t="n"/>
      <c r="D41" s="45" t="n"/>
      <c r="E41" s="182" t="n"/>
      <c r="F41" s="182" t="n"/>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B42" s="195" t="n"/>
      <c r="C42" s="195" t="n"/>
      <c r="D42" s="45" t="n"/>
      <c r="E42" s="182" t="n"/>
      <c r="F42" s="182" t="n"/>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B43" s="195" t="n"/>
      <c r="C43" s="195" t="n"/>
      <c r="D43" s="45" t="n"/>
      <c r="E43" s="182" t="n"/>
      <c r="F43" s="182" t="n"/>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B44" s="195" t="n"/>
      <c r="C44" s="195" t="n"/>
      <c r="D44" s="45" t="n"/>
      <c r="E44" s="182" t="n"/>
      <c r="F44" s="182" t="n"/>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B45" s="167" t="n"/>
      <c r="C45" s="195" t="n"/>
      <c r="D45" s="45" t="n"/>
    </row>
    <row r="46" ht="14" customHeight="1" s="304">
      <c r="B46" s="195" t="n"/>
      <c r="C46" s="195" t="n"/>
      <c r="D46" s="45" t="n"/>
    </row>
    <row r="47" ht="40" customHeight="1" s="304">
      <c r="B47" s="455" t="inlineStr">
        <is>
          <t>Transactions this month
One row per posted line. These rows are not included in the totals above. Payments are not listed.</t>
        </is>
      </c>
    </row>
    <row r="48" ht="32" customHeight="1" s="304">
      <c r="B48" s="449" t="inlineStr">
        <is>
          <t>Card</t>
        </is>
      </c>
      <c r="C48" s="453" t="inlineStr">
        <is>
          <t>Trans date</t>
        </is>
      </c>
      <c r="D48" s="454" t="inlineStr">
        <is>
          <t>Post date</t>
        </is>
      </c>
      <c r="E48" s="45" t="n"/>
      <c r="F48" s="456"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45" t="n"/>
      <c r="C49" s="47" t="n"/>
      <c r="D49" s="168" t="n"/>
      <c r="E49" s="45" t="n"/>
      <c r="F49" s="237" t="n"/>
      <c r="G49" s="461" t="n"/>
    </row>
    <row r="50" ht="14" customHeight="1" s="304">
      <c r="B50" s="45" t="n"/>
      <c r="C50" s="47" t="n"/>
      <c r="D50" s="168" t="n"/>
      <c r="E50" s="45" t="n"/>
      <c r="F50" s="237" t="n"/>
      <c r="G50" s="461" t="n"/>
    </row>
    <row r="51" ht="14" customHeight="1" s="304">
      <c r="B51" s="45" t="n"/>
      <c r="C51" s="47" t="n"/>
      <c r="D51" s="168" t="n"/>
      <c r="E51" s="45" t="n"/>
      <c r="F51" s="237" t="n"/>
      <c r="G51" s="461" t="n"/>
    </row>
    <row r="52" ht="14" customHeight="1" s="304">
      <c r="B52" s="45" t="n"/>
      <c r="C52" s="47" t="n"/>
      <c r="D52" s="168" t="n"/>
      <c r="E52" s="45" t="n"/>
      <c r="F52" s="237" t="n"/>
      <c r="G52" s="461" t="n"/>
    </row>
    <row r="53" ht="14" customHeight="1" s="304">
      <c r="B53" s="45" t="n"/>
      <c r="C53" s="47" t="n"/>
      <c r="D53" s="168" t="n"/>
      <c r="E53" s="45" t="n"/>
      <c r="F53" s="240" t="n"/>
      <c r="G53" s="461" t="n"/>
    </row>
    <row r="54" ht="14" customHeight="1" s="304">
      <c r="B54" s="45" t="n"/>
      <c r="C54" s="47" t="n"/>
      <c r="D54" s="168" t="n"/>
      <c r="E54" s="45" t="n"/>
      <c r="F54" s="237" t="n"/>
      <c r="G54" s="461" t="n"/>
    </row>
    <row r="55" ht="14" customHeight="1" s="304">
      <c r="B55" s="45" t="n"/>
      <c r="C55" s="47" t="n"/>
      <c r="D55" s="168" t="n"/>
      <c r="E55" s="45" t="n"/>
      <c r="F55" s="237" t="n"/>
      <c r="G55" s="461" t="n"/>
    </row>
    <row r="56" ht="14" customHeight="1" s="304">
      <c r="B56" s="45" t="n"/>
      <c r="C56" s="47" t="n"/>
      <c r="D56" s="168" t="n"/>
      <c r="E56" s="45" t="n"/>
      <c r="F56" s="237" t="n"/>
      <c r="G56" s="461" t="n"/>
    </row>
    <row r="57" ht="14" customHeight="1" s="304">
      <c r="B57" s="45" t="n"/>
      <c r="C57" s="47" t="n"/>
      <c r="D57" s="168" t="n"/>
      <c r="E57" s="45" t="n"/>
      <c r="F57" s="237" t="n"/>
      <c r="G57" s="461" t="n"/>
    </row>
    <row r="58" ht="14" customHeight="1" s="304">
      <c r="B58" s="45" t="n"/>
      <c r="C58" s="47" t="n"/>
      <c r="D58" s="168" t="n"/>
      <c r="E58" s="45" t="n"/>
      <c r="F58" s="237" t="n"/>
      <c r="G58" s="461" t="n"/>
    </row>
    <row r="59" ht="14" customHeight="1" s="304">
      <c r="B59" s="62" t="n"/>
      <c r="C59" s="62" t="n"/>
      <c r="D59" s="168" t="n"/>
      <c r="G59" s="461" t="n"/>
    </row>
    <row r="60" ht="14" customHeight="1" s="304">
      <c r="B60" s="241" t="n"/>
      <c r="C60" s="242" t="n"/>
      <c r="D60" s="434" t="n"/>
      <c r="G60" s="461" t="n"/>
    </row>
    <row r="61" ht="14" customHeight="1" s="304">
      <c r="B61" s="244" t="n"/>
      <c r="C61" s="242" t="n"/>
      <c r="D61" s="434" t="n"/>
      <c r="G61" s="461" t="n"/>
    </row>
    <row r="62" ht="14" customHeight="1" s="304">
      <c r="B62" s="62" t="n"/>
      <c r="C62" s="62" t="n"/>
      <c r="D62" s="62" t="n"/>
      <c r="E62" s="62" t="n"/>
      <c r="F62" s="62" t="n"/>
      <c r="G62" s="461" t="n"/>
    </row>
    <row r="63" ht="14" customHeight="1" s="304">
      <c r="B63" s="62" t="n"/>
      <c r="C63" s="62" t="n"/>
      <c r="D63" s="62" t="n"/>
      <c r="E63" s="62" t="n"/>
      <c r="F63" s="62" t="n"/>
      <c r="G63" s="461" t="n"/>
    </row>
    <row r="64" ht="14" customHeight="1" s="304">
      <c r="B64" s="62" t="n"/>
      <c r="C64" s="62" t="n"/>
      <c r="D64" s="62" t="n"/>
      <c r="E64" s="62" t="n"/>
      <c r="F64" s="62" t="n"/>
      <c r="G64" s="461" t="n"/>
    </row>
    <row r="65" ht="14" customHeight="1" s="304">
      <c r="B65" s="62" t="n"/>
      <c r="C65" s="62" t="n"/>
      <c r="D65" s="62" t="n"/>
      <c r="E65" s="62" t="n"/>
      <c r="F65" s="62" t="n"/>
      <c r="G65" s="461" t="n"/>
    </row>
    <row r="66" ht="14" customHeight="1" s="304">
      <c r="B66" s="62" t="n"/>
      <c r="C66" s="62" t="n"/>
      <c r="D66" s="62" t="n"/>
      <c r="E66" s="62" t="n"/>
      <c r="F66" s="62" t="n"/>
      <c r="G66" s="461" t="n"/>
    </row>
    <row r="67" ht="14" customHeight="1" s="304">
      <c r="B67" s="62" t="n"/>
      <c r="C67" s="62" t="n"/>
      <c r="D67" s="62" t="n"/>
      <c r="E67" s="62" t="n"/>
      <c r="F67" s="62" t="n"/>
      <c r="G67" s="461" t="n"/>
    </row>
    <row r="68" ht="14" customHeight="1" s="304">
      <c r="B68" s="62" t="n"/>
      <c r="C68" s="62" t="n"/>
      <c r="D68" s="62" t="n"/>
      <c r="E68" s="62" t="n"/>
      <c r="F68" s="62" t="n"/>
      <c r="G68" s="461" t="n"/>
    </row>
    <row r="69" ht="14" customHeight="1" s="304">
      <c r="B69" s="62" t="n"/>
      <c r="C69" s="62" t="n"/>
      <c r="D69" s="62" t="n"/>
      <c r="E69" s="62" t="n"/>
      <c r="F69" s="62" t="n"/>
      <c r="G69" s="461" t="n"/>
    </row>
    <row r="70" ht="14" customHeight="1" s="304">
      <c r="B70" s="62" t="n"/>
      <c r="C70" s="62" t="n"/>
      <c r="D70" s="62" t="n"/>
      <c r="E70" s="62" t="n"/>
      <c r="F70" s="62" t="n"/>
      <c r="G70" s="461" t="n"/>
    </row>
    <row r="71" ht="14" customHeight="1" s="304">
      <c r="B71" s="62" t="n"/>
      <c r="C71" s="62" t="n"/>
      <c r="D71" s="62" t="n"/>
      <c r="E71" s="62" t="n"/>
      <c r="F71" s="62" t="n"/>
      <c r="G71" s="461" t="n"/>
    </row>
    <row r="72" ht="14" customHeight="1" s="304">
      <c r="B72" s="62" t="n"/>
      <c r="C72" s="62" t="n"/>
      <c r="D72" s="62" t="n"/>
      <c r="E72" s="62" t="n"/>
      <c r="F72" s="62" t="n"/>
      <c r="G72" s="461" t="n"/>
    </row>
    <row r="73" ht="14" customHeight="1" s="304">
      <c r="B73" s="62" t="n"/>
      <c r="C73" s="62" t="n"/>
      <c r="D73" s="62" t="n"/>
      <c r="E73" s="62" t="n"/>
      <c r="F73" s="62" t="n"/>
      <c r="G73" s="461" t="n"/>
    </row>
    <row r="74" ht="14" customHeight="1" s="304">
      <c r="B74" s="244" t="n"/>
      <c r="C74" s="244" t="n"/>
      <c r="D74" s="244" t="n"/>
      <c r="G74" s="461" t="n"/>
    </row>
    <row r="75" ht="14" customHeight="1" s="304">
      <c r="B75" s="244" t="n"/>
      <c r="C75" s="244" t="n"/>
      <c r="D75" s="244" t="n"/>
      <c r="G75" s="461" t="n"/>
    </row>
    <row r="76" ht="14" customHeight="1" s="304">
      <c r="B76" s="244" t="n"/>
      <c r="C76" s="244" t="n"/>
      <c r="D76" s="244" t="n"/>
      <c r="G76" s="461" t="n"/>
    </row>
    <row r="77" ht="14" customHeight="1" s="304">
      <c r="B77" s="244" t="n"/>
      <c r="C77" s="244" t="n"/>
      <c r="D77" s="244" t="n"/>
      <c r="G77" s="461" t="n"/>
    </row>
    <row r="78" ht="14" customHeight="1" s="304">
      <c r="B78" s="195" t="n"/>
      <c r="C78" s="195" t="n"/>
      <c r="D78" s="166" t="n"/>
      <c r="G78" s="461" t="n"/>
    </row>
    <row r="79" ht="14" customHeight="1" s="304">
      <c r="C79" s="195" t="n"/>
      <c r="D79" s="166" t="n"/>
      <c r="G79" s="461" t="n"/>
    </row>
    <row r="80" ht="14" customHeight="1" s="304">
      <c r="B80" s="195" t="n"/>
      <c r="C80" s="195" t="n"/>
      <c r="D80" s="166" t="n"/>
      <c r="G80" s="461" t="n"/>
    </row>
    <row r="81" ht="14" customHeight="1" s="304">
      <c r="C81" s="195" t="n"/>
      <c r="D81" s="166" t="n"/>
      <c r="G81" s="461" t="n"/>
    </row>
    <row r="82" ht="14" customHeight="1" s="304">
      <c r="C82" s="195" t="n"/>
      <c r="D82" s="166" t="n"/>
      <c r="G82" s="461" t="n"/>
    </row>
    <row r="83" ht="14" customHeight="1" s="304">
      <c r="C83" s="195" t="n"/>
      <c r="D83" s="166" t="n"/>
      <c r="G83" s="461" t="n"/>
    </row>
    <row r="84" ht="14" customHeight="1" s="304">
      <c r="C84" s="195" t="n"/>
      <c r="D84" s="166" t="n"/>
      <c r="G84" s="461" t="n"/>
    </row>
    <row r="85" ht="14" customHeight="1" s="304">
      <c r="C85" s="195" t="n"/>
      <c r="D85" s="166" t="n"/>
      <c r="G85" s="461" t="n"/>
    </row>
    <row r="86" ht="14" customHeight="1" s="304">
      <c r="C86" s="195" t="n"/>
      <c r="D86" s="166" t="n"/>
      <c r="G86" s="461" t="n"/>
    </row>
    <row r="87" ht="14" customHeight="1" s="304">
      <c r="C87" s="195" t="n"/>
      <c r="D87" s="166" t="n"/>
      <c r="G87" s="461" t="n"/>
    </row>
    <row r="88" ht="14" customHeight="1" s="304">
      <c r="C88" s="195" t="n"/>
      <c r="D88" s="166" t="n"/>
      <c r="G88" s="461" t="n"/>
    </row>
    <row r="89" ht="14" customHeight="1" s="304">
      <c r="C89" s="195" t="n"/>
      <c r="D89" s="166" t="n"/>
      <c r="G89" s="461" t="n"/>
    </row>
    <row r="90" ht="14" customHeight="1" s="304">
      <c r="C90" s="195" t="n"/>
      <c r="D90" s="166" t="n"/>
      <c r="G90" s="461" t="n"/>
    </row>
    <row r="91" ht="14" customHeight="1" s="304">
      <c r="C91" s="195" t="n"/>
      <c r="D91" s="166" t="n"/>
      <c r="G91" s="461" t="n"/>
    </row>
    <row r="92" ht="14" customHeight="1" s="304">
      <c r="C92" s="195" t="n"/>
      <c r="D92" s="166" t="n"/>
      <c r="G92" s="461" t="n"/>
    </row>
    <row r="93" ht="14" customHeight="1" s="304">
      <c r="C93" s="195" t="n"/>
      <c r="D93" s="166" t="n"/>
      <c r="G93" s="461" t="n"/>
    </row>
    <row r="94" ht="14" customHeight="1" s="304">
      <c r="C94" s="195" t="n"/>
      <c r="D94" s="166" t="n"/>
      <c r="G94" s="461" t="n"/>
    </row>
    <row r="95" ht="14" customHeight="1" s="304">
      <c r="C95" s="195" t="n"/>
      <c r="D95" s="166" t="n"/>
      <c r="G95" s="461" t="n"/>
    </row>
    <row r="96" ht="14" customHeight="1" s="304">
      <c r="C96" s="195" t="n"/>
      <c r="D96" s="166" t="n"/>
      <c r="G96" s="461" t="n"/>
    </row>
    <row r="97" ht="14" customHeight="1" s="304">
      <c r="C97" s="195" t="n"/>
      <c r="D97" s="166" t="n"/>
      <c r="G97" s="461" t="n"/>
    </row>
    <row r="98" ht="14" customHeight="1" s="304">
      <c r="C98" s="195" t="n"/>
      <c r="D98" s="166" t="n"/>
      <c r="G98" s="461" t="n"/>
    </row>
    <row r="99" ht="14" customHeight="1" s="304">
      <c r="C99" s="195" t="n"/>
      <c r="D99" s="166" t="n"/>
      <c r="G99" s="461" t="n"/>
    </row>
    <row r="100" ht="14" customHeight="1" s="304">
      <c r="C100" s="195" t="n"/>
      <c r="D100" s="166" t="n"/>
      <c r="G100" s="461" t="n"/>
    </row>
    <row r="101" ht="14" customHeight="1" s="304">
      <c r="C101" s="195" t="n"/>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AD3:AE3"/>
    <mergeCell ref="AF3:AG3"/>
    <mergeCell ref="AX4:AY4"/>
    <mergeCell ref="F22:G23"/>
    <mergeCell ref="AH3:AI3"/>
    <mergeCell ref="AN3:AO3"/>
    <mergeCell ref="BH4:BI4"/>
    <mergeCell ref="I30:I31"/>
    <mergeCell ref="BJ4:BK4"/>
    <mergeCell ref="AP3:AQ3"/>
    <mergeCell ref="BB3:BC3"/>
    <mergeCell ref="I17:I19"/>
    <mergeCell ref="B47:I47"/>
    <mergeCell ref="B150:I150"/>
    <mergeCell ref="AB4:AC4"/>
    <mergeCell ref="R4:S4"/>
    <mergeCell ref="T4:U4"/>
    <mergeCell ref="AT3:AU3"/>
    <mergeCell ref="L3:M3"/>
    <mergeCell ref="BF3:BG3"/>
    <mergeCell ref="BD3:BE3"/>
    <mergeCell ref="BP4:BQ4"/>
    <mergeCell ref="AH4:AI4"/>
    <mergeCell ref="AN4:AO4"/>
    <mergeCell ref="BH3:BI3"/>
    <mergeCell ref="BN3:BO3"/>
    <mergeCell ref="AV3:AW3"/>
    <mergeCell ref="BP3:BQ3"/>
    <mergeCell ref="BR3:BS3"/>
    <mergeCell ref="N3:O3"/>
    <mergeCell ref="AB3:AC3"/>
    <mergeCell ref="AR4:AS4"/>
    <mergeCell ref="X3:Y3"/>
    <mergeCell ref="I22:I27"/>
    <mergeCell ref="AT4:AU4"/>
    <mergeCell ref="AZ4:BA4"/>
    <mergeCell ref="Z3:AA3"/>
    <mergeCell ref="AV4:AW4"/>
    <mergeCell ref="BB4:BC4"/>
    <mergeCell ref="J4:K4"/>
    <mergeCell ref="BD4:BE4"/>
    <mergeCell ref="AJ3:AK3"/>
    <mergeCell ref="L4:M4"/>
    <mergeCell ref="AL3:AM3"/>
    <mergeCell ref="BL4:BM4"/>
    <mergeCell ref="BF4:BG4"/>
    <mergeCell ref="BN4:BO4"/>
    <mergeCell ref="AF4:AG4"/>
    <mergeCell ref="F26:G39"/>
    <mergeCell ref="R3:S3"/>
    <mergeCell ref="I6:I16"/>
    <mergeCell ref="X4:Y4"/>
    <mergeCell ref="J3:K3"/>
    <mergeCell ref="BR4:BS4"/>
    <mergeCell ref="Z4:AA4"/>
    <mergeCell ref="AJ4:AK4"/>
    <mergeCell ref="BJ3:BK3"/>
    <mergeCell ref="AL4:AM4"/>
    <mergeCell ref="BL3:BM3"/>
    <mergeCell ref="AX3:AY3"/>
    <mergeCell ref="AZ3:BA3"/>
    <mergeCell ref="P3:Q3"/>
    <mergeCell ref="F18:G19"/>
    <mergeCell ref="AP4:AQ4"/>
    <mergeCell ref="AR3:AS3"/>
    <mergeCell ref="V4:W4"/>
    <mergeCell ref="T3:U3"/>
    <mergeCell ref="AD4:AE4"/>
    <mergeCell ref="V3:W3"/>
    <mergeCell ref="N4:O4"/>
  </mergeCells>
  <conditionalFormatting sqref="A81:B101">
    <cfRule type="cellIs" priority="586" operator="equal" dxfId="5" stopIfTrue="1">
      <formula>"Sat"</formula>
    </cfRule>
    <cfRule type="cellIs" priority="587" operator="equal" dxfId="0" stopIfTrue="1">
      <formula>"Sun"</formula>
    </cfRule>
  </conditionalFormatting>
  <conditionalFormatting sqref="A1:H2 A3:I4 A5:A78 A79:B79 A80 A102:XFD65536 B5:H5 B35:E40 D47:XFD47 D78:J79 E20:G21 E23:E34 E59:XFD61 E91:XFD92 F6:G14 F17:G17 F25:F26 F40:G40 G41:G44 G45:XFD46 G48:XFD58 G62:XFD67 G68:J73 H6:H44 I2 I5:I6 I9 I42:I44 J5:BS16 P68:XFD79">
    <cfRule type="cellIs" priority="793" operator="equal" dxfId="0" stopIfTrue="1">
      <formula>"Sun"</formula>
    </cfRule>
  </conditionalFormatting>
  <conditionalFormatting sqref="B18:B32">
    <cfRule type="cellIs" priority="50" operator="equal" dxfId="0" stopIfTrue="1">
      <formula>"Sun"</formula>
    </cfRule>
    <cfRule type="cellIs" priority="49" operator="equal" dxfId="5" stopIfTrue="1">
      <formula>"Sat"</formula>
    </cfRule>
  </conditionalFormatting>
  <conditionalFormatting sqref="B33:D34">
    <cfRule type="cellIs" priority="110" operator="equal" dxfId="5" stopIfTrue="1">
      <formula>"Sat"</formula>
    </cfRule>
    <cfRule type="cellIs" priority="111" operator="equal" dxfId="0" stopIfTrue="1">
      <formula>"Sun"</formula>
    </cfRule>
  </conditionalFormatting>
  <conditionalFormatting sqref="B60:D61 B74:J77">
    <cfRule type="cellIs" priority="515" operator="equal" dxfId="0" stopIfTrue="1">
      <formula>"Sun"</formula>
    </cfRule>
    <cfRule type="cellIs" priority="514" operator="equal" dxfId="5" stopIfTrue="1">
      <formula>"Sat"</formula>
    </cfRule>
  </conditionalFormatting>
  <conditionalFormatting sqref="B6:E17">
    <cfRule type="cellIs" priority="791" operator="equal" dxfId="0" stopIfTrue="1">
      <formula>"Sun"</formula>
    </cfRule>
    <cfRule type="cellIs" priority="790" operator="equal" dxfId="5" stopIfTrue="1">
      <formula>"Sat"</formula>
    </cfRule>
  </conditionalFormatting>
  <conditionalFormatting sqref="C27">
    <cfRule type="cellIs" priority="29" operator="equal" dxfId="5" stopIfTrue="1">
      <formula>"Sat"</formula>
    </cfRule>
    <cfRule type="cellIs" priority="30" operator="equal" dxfId="0" stopIfTrue="1">
      <formula>"Sun"</formula>
    </cfRule>
  </conditionalFormatting>
  <conditionalFormatting sqref="C29:C30">
    <cfRule type="cellIs" priority="23" operator="equal" dxfId="5" stopIfTrue="1">
      <formula>"Sat"</formula>
    </cfRule>
    <cfRule type="cellIs" priority="24" operator="equal" dxfId="0" stopIfTrue="1">
      <formula>"Sun"</formula>
    </cfRule>
  </conditionalFormatting>
  <conditionalFormatting sqref="C21:D21">
    <cfRule type="cellIs" priority="22" operator="equal" dxfId="0" stopIfTrue="1">
      <formula>"Sun"</formula>
    </cfRule>
    <cfRule type="cellIs" priority="21" operator="equal" dxfId="5" stopIfTrue="1">
      <formula>"Sat"</formula>
    </cfRule>
  </conditionalFormatting>
  <conditionalFormatting sqref="C24:D24">
    <cfRule type="cellIs" priority="27" operator="equal" dxfId="5" stopIfTrue="1">
      <formula>"Sat"</formula>
    </cfRule>
    <cfRule type="cellIs" priority="28" operator="equal" dxfId="0" stopIfTrue="1">
      <formula>"Sun"</formula>
    </cfRule>
  </conditionalFormatting>
  <conditionalFormatting sqref="C26:D26">
    <cfRule type="cellIs" priority="41" operator="equal" dxfId="5" stopIfTrue="1">
      <formula>"Sat"</formula>
    </cfRule>
    <cfRule type="cellIs" priority="42" operator="equal" dxfId="0" stopIfTrue="1">
      <formula>"Sun"</formula>
    </cfRule>
  </conditionalFormatting>
  <conditionalFormatting sqref="C31:D32">
    <cfRule type="cellIs" priority="43" operator="equal" dxfId="5" stopIfTrue="1">
      <formula>"Sat"</formula>
    </cfRule>
    <cfRule type="cellIs" priority="44" operator="equal" dxfId="0" stopIfTrue="1">
      <formula>"Sun"</formula>
    </cfRule>
  </conditionalFormatting>
  <conditionalFormatting sqref="C19:E19 D27:D28">
    <cfRule type="cellIs" priority="45" operator="equal" dxfId="5" stopIfTrue="1">
      <formula>"Sat"</formula>
    </cfRule>
    <cfRule type="cellIs" priority="46" operator="equal" dxfId="0" stopIfTrue="1">
      <formula>"Sun"</formula>
    </cfRule>
  </conditionalFormatting>
  <conditionalFormatting sqref="C18:F18">
    <cfRule type="cellIs" priority="19" operator="equal" dxfId="5" stopIfTrue="1">
      <formula>"Sat"</formula>
    </cfRule>
    <cfRule type="cellIs" priority="20" operator="equal" dxfId="0" stopIfTrue="1">
      <formula>"Sun"</formula>
    </cfRule>
  </conditionalFormatting>
  <conditionalFormatting sqref="C22:F22">
    <cfRule type="cellIs" priority="32" operator="equal" dxfId="0" stopIfTrue="1">
      <formula>"Sun"</formula>
    </cfRule>
    <cfRule type="cellIs" priority="31" operator="equal" dxfId="5" stopIfTrue="1">
      <formula>"Sat"</formula>
    </cfRule>
  </conditionalFormatting>
  <conditionalFormatting sqref="D91:D92">
    <cfRule type="cellIs" priority="604" operator="equal" dxfId="5" stopIfTrue="1">
      <formula>"Sat"</formula>
    </cfRule>
    <cfRule type="cellIs" priority="605" operator="equal" dxfId="0" stopIfTrue="1">
      <formula>"Sun"</formula>
    </cfRule>
  </conditionalFormatting>
  <conditionalFormatting sqref="D41:F46">
    <cfRule type="cellIs" priority="498" operator="equal" dxfId="5" stopIfTrue="1">
      <formula>"Sat"</formula>
    </cfRule>
    <cfRule type="cellIs" priority="499" operator="equal" dxfId="0" stopIfTrue="1">
      <formula>"Sun"</formula>
    </cfRule>
  </conditionalFormatting>
  <conditionalFormatting sqref="D80:XFD90">
    <cfRule type="cellIs" priority="632" operator="equal" dxfId="5" stopIfTrue="1">
      <formula>"Sat"</formula>
    </cfRule>
    <cfRule type="cellIs" priority="633" operator="equal" dxfId="0" stopIfTrue="1">
      <formula>"Sun"</formula>
    </cfRule>
  </conditionalFormatting>
  <conditionalFormatting sqref="D93:XFD101">
    <cfRule type="cellIs" priority="594" operator="equal" dxfId="5" stopIfTrue="1">
      <formula>"Sat"</formula>
    </cfRule>
    <cfRule type="cellIs" priority="595" operator="equal" dxfId="0" stopIfTrue="1">
      <formula>"Sun"</formula>
    </cfRule>
  </conditionalFormatting>
  <conditionalFormatting sqref="A1:H2 A3:I4 A5:A78 A79:B79 A80 A102:XFD65536 B5:H5 B35:E40 D47:XFD47 D78:J79 E20:G21 E23:E34 E59:XFD61 E91:XFD92 F6:G14 F17:G17 F25:F26 F40:G40 G41:G44 G45:XFD46 G48:XFD58 G62:XFD67 G68:J73 H6:H44 I2 I5:I6 I9 J5:BS16 P68:XFD79">
    <cfRule type="cellIs" priority="792" operator="equal" dxfId="5" stopIfTrue="1">
      <formula>"Sat"</formula>
    </cfRule>
  </conditionalFormatting>
  <conditionalFormatting sqref="F48:F52 F54:F58">
    <cfRule type="cellIs" priority="17" operator="equal" dxfId="5" stopIfTrue="1">
      <formula>"Sat"</formula>
    </cfRule>
    <cfRule type="cellIs" priority="18" operator="equal" dxfId="0" stopIfTrue="1">
      <formula>"Sun"</formula>
    </cfRule>
  </conditionalFormatting>
  <conditionalFormatting sqref="I20:I37">
    <cfRule type="cellIs" priority="750" operator="equal" dxfId="5" stopIfTrue="1">
      <formula>"Sat"</formula>
    </cfRule>
    <cfRule type="cellIs" priority="751" operator="equal" dxfId="0" stopIfTrue="1">
      <formula>"Sun"</formula>
    </cfRule>
  </conditionalFormatting>
  <conditionalFormatting sqref="I17:BS17">
    <cfRule type="cellIs" priority="143" operator="equal" dxfId="0" stopIfTrue="1">
      <formula>"Sun"</formula>
    </cfRule>
    <cfRule type="cellIs" priority="142" operator="equal" dxfId="5" stopIfTrue="1">
      <formula>"Sat"</formula>
    </cfRule>
  </conditionalFormatting>
  <conditionalFormatting sqref="I42:BS44">
    <cfRule type="cellIs" priority="156" operator="equal" dxfId="5" stopIfTrue="1">
      <formula>"Sat"</formula>
    </cfRule>
  </conditionalFormatting>
  <conditionalFormatting sqref="J18:BS38">
    <cfRule type="cellIs" priority="2" operator="equal" dxfId="0" stopIfTrue="1">
      <formula>"Sun"</formula>
    </cfRule>
  </conditionalFormatting>
  <conditionalFormatting sqref="J18:BS41">
    <cfRule type="cellIs" priority="1" operator="equal" dxfId="5" stopIfTrue="1">
      <formula>"Sat"</formula>
    </cfRule>
  </conditionalFormatting>
  <conditionalFormatting sqref="J39:BS44">
    <cfRule type="cellIs" priority="157" operator="equal" dxfId="0" stopIfTrue="1">
      <formula>"Sun"</formula>
    </cfRule>
  </conditionalFormatting>
  <conditionalFormatting sqref="K73:M74">
    <cfRule type="cellIs" priority="622" operator="equal" dxfId="5" stopIfTrue="1">
      <formula>"Sat"</formula>
    </cfRule>
    <cfRule type="cellIs" priority="623" operator="equal" dxfId="0" stopIfTrue="1">
      <formula>"Sun"</formula>
    </cfRule>
  </conditionalFormatting>
  <conditionalFormatting sqref="K86:M87">
    <cfRule type="cellIs" priority="612" operator="equal" dxfId="5" stopIfTrue="1">
      <formula>"Sat"</formula>
    </cfRule>
    <cfRule type="cellIs" priority="613" operator="equal" dxfId="0" stopIfTrue="1">
      <formula>"Sun"</formula>
    </cfRule>
  </conditionalFormatting>
  <conditionalFormatting sqref="K61:O79">
    <cfRule type="cellIs" priority="638" operator="equal" dxfId="5" stopIfTrue="1">
      <formula>"Sat"</formula>
    </cfRule>
    <cfRule type="cellIs" priority="639" operator="equal" dxfId="0" stopIfTrue="1">
      <formula>"Sun"</formula>
    </cfRule>
  </conditionalFormatting>
  <conditionalFormatting sqref="K75:O77">
    <cfRule type="cellIs" priority="628" operator="equal" dxfId="5" stopIfTrue="1">
      <formula>"Sat"</formula>
    </cfRule>
    <cfRule type="cellIs" priority="629" operator="equal" dxfId="0" stopIfTrue="1">
      <formula>"Sun"</formula>
    </cfRule>
  </conditionalFormatting>
  <conditionalFormatting sqref="K88:O92">
    <cfRule type="cellIs" priority="616" operator="equal" dxfId="5" stopIfTrue="1">
      <formula>"Sat"</formula>
    </cfRule>
    <cfRule type="cellIs" priority="617" operator="equal" dxfId="0" stopIfTrue="1">
      <formula>"Sun"</formula>
    </cfRule>
  </conditionalFormatting>
  <conditionalFormatting sqref="BT1:IV44">
    <cfRule type="cellIs" priority="467" operator="equal" dxfId="0" stopIfTrue="1">
      <formula>"Sun"</formula>
    </cfRule>
    <cfRule type="cellIs" priority="466" operator="equal" dxfId="5" stopIfTrue="1">
      <formula>"Sat"</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11.xml><?xml version="1.0" encoding="utf-8"?>
<worksheet xmlns="http://schemas.openxmlformats.org/spreadsheetml/2006/main">
  <sheetPr>
    <tabColor indexed="21"/>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C18" sqref="C18"/>
    </sheetView>
  </sheetViews>
  <sheetFormatPr baseColWidth="8" defaultColWidth="8.90625" defaultRowHeight="13.5"/>
  <cols>
    <col width="1.08984375" customWidth="1" style="1" min="1" max="1"/>
    <col width="27" customWidth="1" style="1" min="2" max="2"/>
    <col width="13.90625" bestFit="1" customWidth="1" style="1" min="3" max="3"/>
    <col width="14" bestFit="1" customWidth="1" style="1" min="4" max="4"/>
    <col width="1.6328125" customWidth="1" style="1" min="5" max="5"/>
    <col width="29" customWidth="1" style="1" min="6" max="6"/>
    <col width="10.08984375" bestFit="1" customWidth="1" style="1" min="7" max="7"/>
    <col width="1.6328125" customWidth="1" style="1" min="8" max="8"/>
    <col width="25" customWidth="1" style="1" min="9" max="9"/>
    <col width="10.08984375" customWidth="1" style="1" min="10" max="10"/>
    <col width="11" bestFit="1" customWidth="1" style="1" min="11" max="11"/>
    <col width="10.08984375" customWidth="1" style="1" min="12" max="12"/>
    <col width="9.90625"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8.6328125"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0"/>
    <col width="11" bestFit="1" customWidth="1" style="1" min="31" max="31"/>
    <col width="8.90625" customWidth="1" style="1" min="32" max="38"/>
    <col width="11" bestFit="1" customWidth="1" style="1" min="39" max="39"/>
    <col width="8.90625" customWidth="1" style="1" min="40" max="42"/>
    <col width="11" bestFit="1" customWidth="1" style="1" min="43" max="43"/>
    <col width="8.90625" customWidth="1" style="1" min="44" max="48"/>
    <col width="11" bestFit="1" customWidth="1" style="1" min="49" max="49"/>
    <col width="8.90625" customWidth="1" style="1" min="50" max="52"/>
    <col width="11" bestFit="1" customWidth="1" style="1" min="53" max="53"/>
    <col width="8.90625" customWidth="1" style="1" min="54" max="54"/>
    <col width="12" bestFit="1" customWidth="1" style="1" min="55" max="55"/>
    <col width="8.90625" customWidth="1" style="1" min="56" max="68"/>
    <col width="11" bestFit="1" customWidth="1" style="1" min="69" max="69"/>
    <col width="10.08984375"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10</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f>IF(BP2="","",IF(BP2&gt;=$C$1,"",BP2+1))</f>
        <v/>
      </c>
      <c r="BS2" s="96">
        <f>IF(BR2="","",TEXT(BR2,"ddd"))</f>
        <v/>
      </c>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inlineStr">
        <is>
          <t>Item</t>
        </is>
      </c>
      <c r="BS5" s="107" t="inlineStr">
        <is>
          <t>Amount</t>
        </is>
      </c>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178" t="n"/>
      <c r="D8" s="435"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436" t="n"/>
      <c r="C9" s="178" t="n"/>
      <c r="D9" s="419"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178" t="n"/>
      <c r="D10" s="419"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410"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180">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7"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F18+Sep!F22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71"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71"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69"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71"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158" t="n"/>
      <c r="D38" s="149" t="n"/>
      <c r="F38" s="328" t="n"/>
      <c r="G38" s="329" t="n"/>
      <c r="I38" s="141" t="n"/>
      <c r="J38" s="393" t="n"/>
      <c r="K38" s="370" t="n"/>
      <c r="L38" s="371" t="n"/>
      <c r="M38" s="370" t="n"/>
      <c r="N38" s="371"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71"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96"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B41" s="62" t="n"/>
      <c r="C41" s="62" t="n"/>
      <c r="D41" s="166" t="n"/>
      <c r="E41" s="182" t="n"/>
      <c r="F41" s="182" t="n"/>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B42" s="62" t="n"/>
      <c r="C42" s="62" t="n"/>
      <c r="D42" s="166" t="n"/>
      <c r="E42" s="182" t="n"/>
      <c r="F42" s="182" t="n"/>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B43" s="62" t="n"/>
      <c r="C43" s="62" t="n"/>
      <c r="D43" s="166" t="n"/>
      <c r="E43" s="182" t="n"/>
      <c r="F43" s="182" t="n"/>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B44" s="62" t="n"/>
      <c r="C44" s="62" t="n"/>
      <c r="D44" s="166" t="n"/>
      <c r="E44" s="182" t="n"/>
      <c r="F44" s="182" t="n"/>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B45" s="62" t="n"/>
      <c r="C45" s="62" t="n"/>
      <c r="D45" s="166" t="n"/>
      <c r="F45" s="166" t="n"/>
    </row>
    <row r="46" ht="14" customHeight="1" s="304">
      <c r="B46" s="62" t="n"/>
      <c r="C46" s="62" t="n"/>
      <c r="D46" s="166" t="n"/>
      <c r="AA46" s="166" t="n"/>
    </row>
    <row r="47" ht="40" customHeight="1" s="304">
      <c r="B47" s="448" t="inlineStr">
        <is>
          <t>Transactions this month
One row per posted line. These rows are not included in the totals above. Payments are not listed.</t>
        </is>
      </c>
    </row>
    <row r="48" ht="32" customHeight="1" s="304">
      <c r="B48" s="449" t="inlineStr">
        <is>
          <t>Card</t>
        </is>
      </c>
      <c r="C48" s="453" t="inlineStr">
        <is>
          <t>Trans date</t>
        </is>
      </c>
      <c r="D48" s="454" t="inlineStr">
        <is>
          <t>Post date</t>
        </is>
      </c>
      <c r="E48" s="45" t="n"/>
      <c r="F48" s="456"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45" t="n"/>
      <c r="C49" s="47" t="n"/>
      <c r="D49" s="168" t="n"/>
      <c r="E49" s="45" t="n"/>
      <c r="F49" s="237" t="n"/>
      <c r="G49" s="461" t="n"/>
    </row>
    <row r="50" ht="14" customHeight="1" s="304">
      <c r="B50" s="45" t="n"/>
      <c r="C50" s="47" t="n"/>
      <c r="D50" s="168" t="n"/>
      <c r="E50" s="45" t="n"/>
      <c r="F50" s="237" t="n"/>
      <c r="G50" s="461" t="n"/>
    </row>
    <row r="51" ht="14" customHeight="1" s="304">
      <c r="B51" s="45" t="n"/>
      <c r="C51" s="47" t="n"/>
      <c r="D51" s="168" t="n"/>
      <c r="E51" s="45" t="n"/>
      <c r="F51" s="237" t="n"/>
      <c r="G51" s="461" t="n"/>
    </row>
    <row r="52" ht="14" customHeight="1" s="304">
      <c r="B52" s="45" t="n"/>
      <c r="C52" s="47" t="n"/>
      <c r="D52" s="168" t="n"/>
      <c r="E52" s="45" t="n"/>
      <c r="F52" s="237" t="n"/>
      <c r="G52" s="461" t="n"/>
    </row>
    <row r="53" ht="14" customHeight="1" s="304">
      <c r="B53" s="45" t="n"/>
      <c r="C53" s="47" t="n"/>
      <c r="D53" s="168" t="n"/>
      <c r="E53" s="45" t="n"/>
      <c r="F53" s="240" t="n"/>
      <c r="G53" s="461" t="n"/>
    </row>
    <row r="54" ht="14" customHeight="1" s="304">
      <c r="B54" s="45" t="n"/>
      <c r="C54" s="47" t="n"/>
      <c r="D54" s="168" t="n"/>
      <c r="E54" s="45" t="n"/>
      <c r="F54" s="237" t="n"/>
      <c r="G54" s="461" t="n"/>
    </row>
    <row r="55" ht="14" customHeight="1" s="304">
      <c r="B55" s="45" t="n"/>
      <c r="C55" s="47" t="n"/>
      <c r="D55" s="168" t="n"/>
      <c r="E55" s="45" t="n"/>
      <c r="F55" s="237" t="n"/>
      <c r="G55" s="461" t="n"/>
    </row>
    <row r="56" ht="14" customHeight="1" s="304">
      <c r="B56" s="45" t="n"/>
      <c r="C56" s="47" t="n"/>
      <c r="D56" s="168" t="n"/>
      <c r="E56" s="45" t="n"/>
      <c r="F56" s="237" t="n"/>
      <c r="G56" s="461" t="n"/>
    </row>
    <row r="57" ht="14" customHeight="1" s="304">
      <c r="B57" s="45" t="n"/>
      <c r="C57" s="47" t="n"/>
      <c r="D57" s="168" t="n"/>
      <c r="E57" s="45" t="n"/>
      <c r="F57" s="237" t="n"/>
      <c r="G57" s="461" t="n"/>
    </row>
    <row r="58" ht="14" customHeight="1" s="304">
      <c r="B58" s="45" t="n"/>
      <c r="C58" s="47" t="n"/>
      <c r="D58" s="168" t="n"/>
      <c r="E58" s="45" t="n"/>
      <c r="F58" s="237" t="n"/>
      <c r="G58" s="461" t="n"/>
    </row>
    <row r="59" ht="14" customHeight="1" s="304">
      <c r="B59" s="62" t="n"/>
      <c r="C59" s="62" t="n"/>
      <c r="D59" s="247" t="n"/>
      <c r="G59" s="461" t="n"/>
    </row>
    <row r="60" ht="14" customHeight="1" s="304">
      <c r="B60" s="62" t="n"/>
      <c r="C60" s="62" t="n"/>
      <c r="G60" s="461" t="n"/>
    </row>
    <row r="61" ht="14" customHeight="1" s="304">
      <c r="B61" s="62" t="n"/>
      <c r="C61" s="62" t="n"/>
      <c r="G61" s="461" t="n"/>
    </row>
    <row r="62" ht="14" customHeight="1" s="304">
      <c r="B62" s="62" t="n"/>
      <c r="C62" s="62" t="n"/>
      <c r="G62" s="461" t="n"/>
    </row>
    <row r="63">
      <c r="G63" s="461" t="n"/>
    </row>
    <row r="64" ht="14" customHeight="1" s="304">
      <c r="B64" s="62" t="n"/>
      <c r="C64" s="172" t="n"/>
      <c r="G64" s="461" t="n"/>
    </row>
    <row r="65" ht="14" customHeight="1" s="304">
      <c r="B65" s="62" t="n"/>
      <c r="C65" s="172" t="n"/>
      <c r="G65" s="461" t="n"/>
    </row>
    <row r="66" ht="14" customHeight="1" s="304">
      <c r="B66" s="62" t="n"/>
      <c r="C66" s="172" t="n"/>
      <c r="G66" s="461" t="n"/>
    </row>
    <row r="67" ht="14" customHeight="1" s="304">
      <c r="B67" s="248" t="n"/>
      <c r="C67" s="172" t="n"/>
      <c r="G67" s="461" t="n"/>
    </row>
    <row r="68" ht="14" customHeight="1" s="304">
      <c r="B68" s="248" t="n"/>
      <c r="C68" s="172" t="n"/>
      <c r="G68" s="461" t="n"/>
    </row>
    <row r="69" ht="14" customHeight="1" s="304">
      <c r="B69" s="170" t="n"/>
      <c r="C69" s="172" t="n"/>
      <c r="G69" s="461" t="n"/>
    </row>
    <row r="70">
      <c r="G70" s="461" t="n"/>
    </row>
    <row r="71">
      <c r="G71" s="461" t="n"/>
    </row>
    <row r="72">
      <c r="G72" s="461" t="n"/>
    </row>
    <row r="73">
      <c r="G73" s="461" t="n"/>
    </row>
    <row r="74">
      <c r="G74" s="461" t="n"/>
    </row>
    <row r="75">
      <c r="G75" s="461" t="n"/>
    </row>
    <row r="76">
      <c r="G76" s="461" t="n"/>
    </row>
    <row r="77">
      <c r="G77" s="461" t="n"/>
    </row>
    <row r="78">
      <c r="G78" s="461" t="n"/>
    </row>
    <row r="79">
      <c r="G79" s="461" t="n"/>
    </row>
    <row r="80">
      <c r="G80" s="461" t="n"/>
    </row>
    <row r="81">
      <c r="G81" s="461" t="n"/>
    </row>
    <row r="82">
      <c r="G82" s="461" t="n"/>
    </row>
    <row r="83">
      <c r="G83" s="461" t="n"/>
    </row>
    <row r="84">
      <c r="G84" s="461" t="n"/>
    </row>
    <row r="85">
      <c r="G85" s="461" t="n"/>
    </row>
    <row r="86">
      <c r="G86" s="461" t="n"/>
    </row>
    <row r="87">
      <c r="G87" s="461" t="n"/>
    </row>
    <row r="88">
      <c r="G88" s="461" t="n"/>
    </row>
    <row r="89">
      <c r="G89" s="461" t="n"/>
    </row>
    <row r="90">
      <c r="G90" s="461" t="n"/>
    </row>
    <row r="91">
      <c r="G91" s="461" t="n"/>
    </row>
    <row r="92">
      <c r="G92" s="461" t="n"/>
    </row>
    <row r="93">
      <c r="G93" s="461" t="n"/>
    </row>
    <row r="94">
      <c r="G94" s="461" t="n"/>
    </row>
    <row r="95">
      <c r="G95" s="461" t="n"/>
    </row>
    <row r="96">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AD3:AE3"/>
    <mergeCell ref="AF3:AG3"/>
    <mergeCell ref="AX4:AY4"/>
    <mergeCell ref="F22:G23"/>
    <mergeCell ref="AH3:AI3"/>
    <mergeCell ref="AN3:AO3"/>
    <mergeCell ref="BH4:BI4"/>
    <mergeCell ref="I30:I31"/>
    <mergeCell ref="BJ4:BK4"/>
    <mergeCell ref="AP3:AQ3"/>
    <mergeCell ref="BB3:BC3"/>
    <mergeCell ref="I17:I19"/>
    <mergeCell ref="B47:I47"/>
    <mergeCell ref="B150:I150"/>
    <mergeCell ref="AB4:AC4"/>
    <mergeCell ref="R4:S4"/>
    <mergeCell ref="T4:U4"/>
    <mergeCell ref="AT3:AU3"/>
    <mergeCell ref="L3:M3"/>
    <mergeCell ref="BF3:BG3"/>
    <mergeCell ref="BD3:BE3"/>
    <mergeCell ref="BP4:BQ4"/>
    <mergeCell ref="AH4:AI4"/>
    <mergeCell ref="AN4:AO4"/>
    <mergeCell ref="BH3:BI3"/>
    <mergeCell ref="BN3:BO3"/>
    <mergeCell ref="AV3:AW3"/>
    <mergeCell ref="BP3:BQ3"/>
    <mergeCell ref="BR3:BS3"/>
    <mergeCell ref="N3:O3"/>
    <mergeCell ref="AB3:AC3"/>
    <mergeCell ref="AR4:AS4"/>
    <mergeCell ref="X3:Y3"/>
    <mergeCell ref="I22:I27"/>
    <mergeCell ref="AT4:AU4"/>
    <mergeCell ref="AZ4:BA4"/>
    <mergeCell ref="Z3:AA3"/>
    <mergeCell ref="AV4:AW4"/>
    <mergeCell ref="BB4:BC4"/>
    <mergeCell ref="J4:K4"/>
    <mergeCell ref="BD4:BE4"/>
    <mergeCell ref="AJ3:AK3"/>
    <mergeCell ref="L4:M4"/>
    <mergeCell ref="AL3:AM3"/>
    <mergeCell ref="BL4:BM4"/>
    <mergeCell ref="BF4:BG4"/>
    <mergeCell ref="BN4:BO4"/>
    <mergeCell ref="AF4:AG4"/>
    <mergeCell ref="F26:G39"/>
    <mergeCell ref="R3:S3"/>
    <mergeCell ref="I6:I16"/>
    <mergeCell ref="X4:Y4"/>
    <mergeCell ref="J3:K3"/>
    <mergeCell ref="BR4:BS4"/>
    <mergeCell ref="Z4:AA4"/>
    <mergeCell ref="AJ4:AK4"/>
    <mergeCell ref="BJ3:BK3"/>
    <mergeCell ref="AL4:AM4"/>
    <mergeCell ref="BL3:BM3"/>
    <mergeCell ref="AX3:AY3"/>
    <mergeCell ref="AZ3:BA3"/>
    <mergeCell ref="P3:Q3"/>
    <mergeCell ref="F18:G19"/>
    <mergeCell ref="AP4:AQ4"/>
    <mergeCell ref="AR3:AS3"/>
    <mergeCell ref="V4:W4"/>
    <mergeCell ref="T3:U3"/>
    <mergeCell ref="AD4:AE4"/>
    <mergeCell ref="V3:W3"/>
    <mergeCell ref="N4:O4"/>
  </mergeCells>
  <conditionalFormatting sqref="A1:H2 A3:I4 A5:A62 A63:XFD63 A64:A69 A70:XFD65536 B5:H5 B35:E40 D60:XFD62 D64:XFD69 E19:E21 E23:E24 E25:F26 E27:E34 F6:G14 F17:G17 F20:G21 F40:G40 G41:G44 G45:XFD59 H6:H44 I2 I5:I6 I9 J5:BS16 BT1:IV44">
    <cfRule type="cellIs" priority="707" operator="equal" dxfId="0" stopIfTrue="1">
      <formula>"Sun"</formula>
    </cfRule>
    <cfRule type="cellIs" priority="706" operator="equal" dxfId="5" stopIfTrue="1">
      <formula>"Sat"</formula>
    </cfRule>
  </conditionalFormatting>
  <conditionalFormatting sqref="B18:B32">
    <cfRule type="cellIs" priority="53" operator="equal" dxfId="0" stopIfTrue="1">
      <formula>"Sun"</formula>
    </cfRule>
    <cfRule type="cellIs" priority="52" operator="equal" dxfId="5" stopIfTrue="1">
      <formula>"Sat"</formula>
    </cfRule>
  </conditionalFormatting>
  <conditionalFormatting sqref="B33:D34">
    <cfRule type="cellIs" priority="106" operator="equal" dxfId="5" stopIfTrue="1">
      <formula>"Sat"</formula>
    </cfRule>
    <cfRule type="cellIs" priority="107" operator="equal" dxfId="0" stopIfTrue="1">
      <formula>"Sun"</formula>
    </cfRule>
  </conditionalFormatting>
  <conditionalFormatting sqref="B6:E17">
    <cfRule type="cellIs" priority="697" operator="equal" dxfId="0" stopIfTrue="1">
      <formula>"Sun"</formula>
    </cfRule>
    <cfRule type="cellIs" priority="696" operator="equal" dxfId="5" stopIfTrue="1">
      <formula>"Sat"</formula>
    </cfRule>
  </conditionalFormatting>
  <conditionalFormatting sqref="C27">
    <cfRule type="cellIs" priority="32" operator="equal" dxfId="5" stopIfTrue="1">
      <formula>"Sat"</formula>
    </cfRule>
    <cfRule type="cellIs" priority="33" operator="equal" dxfId="0" stopIfTrue="1">
      <formula>"Sun"</formula>
    </cfRule>
  </conditionalFormatting>
  <conditionalFormatting sqref="C29:C30">
    <cfRule type="cellIs" priority="20" operator="equal" dxfId="5" stopIfTrue="1">
      <formula>"Sat"</formula>
    </cfRule>
    <cfRule type="cellIs" priority="21" operator="equal" dxfId="0" stopIfTrue="1">
      <formula>"Sun"</formula>
    </cfRule>
  </conditionalFormatting>
  <conditionalFormatting sqref="C19:D19">
    <cfRule type="cellIs" priority="42" operator="equal" dxfId="5" stopIfTrue="1">
      <formula>"Sat"</formula>
    </cfRule>
    <cfRule type="cellIs" priority="43" operator="equal" dxfId="0" stopIfTrue="1">
      <formula>"Sun"</formula>
    </cfRule>
  </conditionalFormatting>
  <conditionalFormatting sqref="C21:D21">
    <cfRule type="cellIs" priority="27" operator="equal" dxfId="0" stopIfTrue="1">
      <formula>"Sun"</formula>
    </cfRule>
    <cfRule type="cellIs" priority="26" operator="equal" dxfId="5" stopIfTrue="1">
      <formula>"Sat"</formula>
    </cfRule>
  </conditionalFormatting>
  <conditionalFormatting sqref="C24:D24">
    <cfRule type="cellIs" priority="31" operator="equal" dxfId="0" stopIfTrue="1">
      <formula>"Sun"</formula>
    </cfRule>
    <cfRule type="cellIs" priority="30" operator="equal" dxfId="5" stopIfTrue="1">
      <formula>"Sat"</formula>
    </cfRule>
  </conditionalFormatting>
  <conditionalFormatting sqref="C26:D26">
    <cfRule type="cellIs" priority="44" operator="equal" dxfId="5" stopIfTrue="1">
      <formula>"Sat"</formula>
    </cfRule>
    <cfRule type="cellIs" priority="45" operator="equal" dxfId="0" stopIfTrue="1">
      <formula>"Sun"</formula>
    </cfRule>
  </conditionalFormatting>
  <conditionalFormatting sqref="C31:D32">
    <cfRule type="cellIs" priority="46" operator="equal" dxfId="5" stopIfTrue="1">
      <formula>"Sat"</formula>
    </cfRule>
    <cfRule type="cellIs" priority="47" operator="equal" dxfId="0" stopIfTrue="1">
      <formula>"Sun"</formula>
    </cfRule>
  </conditionalFormatting>
  <conditionalFormatting sqref="C18:F18">
    <cfRule type="cellIs" priority="22" operator="equal" dxfId="5" stopIfTrue="1">
      <formula>"Sat"</formula>
    </cfRule>
    <cfRule type="cellIs" priority="23" operator="equal" dxfId="0" stopIfTrue="1">
      <formula>"Sun"</formula>
    </cfRule>
  </conditionalFormatting>
  <conditionalFormatting sqref="C22:F22">
    <cfRule type="cellIs" priority="35" operator="equal" dxfId="0" stopIfTrue="1">
      <formula>"Sun"</formula>
    </cfRule>
    <cfRule type="cellIs" priority="34" operator="equal" dxfId="5" stopIfTrue="1">
      <formula>"Sat"</formula>
    </cfRule>
  </conditionalFormatting>
  <conditionalFormatting sqref="D27:D28">
    <cfRule type="cellIs" priority="48" operator="equal" dxfId="5" stopIfTrue="1">
      <formula>"Sat"</formula>
    </cfRule>
    <cfRule type="cellIs" priority="49" operator="equal" dxfId="0" stopIfTrue="1">
      <formula>"Sun"</formula>
    </cfRule>
  </conditionalFormatting>
  <conditionalFormatting sqref="D41:F47">
    <cfRule type="cellIs" priority="490" operator="equal" dxfId="5" stopIfTrue="1">
      <formula>"Sat"</formula>
    </cfRule>
    <cfRule type="cellIs" priority="491" operator="equal" dxfId="0" stopIfTrue="1">
      <formula>"Sun"</formula>
    </cfRule>
  </conditionalFormatting>
  <conditionalFormatting sqref="E59:F59">
    <cfRule type="cellIs" priority="18" operator="equal" dxfId="5" stopIfTrue="1">
      <formula>"Sat"</formula>
    </cfRule>
    <cfRule type="cellIs" priority="19" operator="equal" dxfId="0" stopIfTrue="1">
      <formula>"Sun"</formula>
    </cfRule>
  </conditionalFormatting>
  <conditionalFormatting sqref="F48:F52 F54:F58">
    <cfRule type="cellIs" priority="16" operator="equal" dxfId="5" stopIfTrue="1">
      <formula>"Sat"</formula>
    </cfRule>
    <cfRule type="cellIs" priority="17" operator="equal" dxfId="0" stopIfTrue="1">
      <formula>"Sun"</formula>
    </cfRule>
  </conditionalFormatting>
  <conditionalFormatting sqref="I20:I37">
    <cfRule type="cellIs" priority="635" operator="equal" dxfId="0" stopIfTrue="1">
      <formula>"Sun"</formula>
    </cfRule>
    <cfRule type="cellIs" priority="634" operator="equal" dxfId="5" stopIfTrue="1">
      <formula>"Sat"</formula>
    </cfRule>
  </conditionalFormatting>
  <conditionalFormatting sqref="I17:BS17">
    <cfRule type="cellIs" priority="2" operator="equal" dxfId="0" stopIfTrue="1">
      <formula>"Sun"</formula>
    </cfRule>
    <cfRule type="cellIs" priority="1" operator="equal" dxfId="5" stopIfTrue="1">
      <formula>"Sat"</formula>
    </cfRule>
  </conditionalFormatting>
  <conditionalFormatting sqref="I42:BS44">
    <cfRule type="cellIs" priority="152" operator="equal" dxfId="5" stopIfTrue="1">
      <formula>"Sat"</formula>
    </cfRule>
    <cfRule type="cellIs" priority="153" operator="equal" dxfId="0" stopIfTrue="1">
      <formula>"Sun"</formula>
    </cfRule>
  </conditionalFormatting>
  <conditionalFormatting sqref="J18:BS41">
    <cfRule type="cellIs" priority="3" operator="equal" dxfId="5" stopIfTrue="1">
      <formula>"Sat"</formula>
    </cfRule>
    <cfRule type="cellIs" priority="4"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12.xml><?xml version="1.0" encoding="utf-8"?>
<worksheet xmlns="http://schemas.openxmlformats.org/spreadsheetml/2006/main">
  <sheetPr>
    <tabColor indexed="15"/>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AV37" sqref="AV37"/>
    </sheetView>
  </sheetViews>
  <sheetFormatPr baseColWidth="8" defaultColWidth="8.90625" defaultRowHeight="13.5"/>
  <cols>
    <col width="1.08984375" customWidth="1" style="1" min="1" max="1"/>
    <col width="27" customWidth="1" style="1" min="2" max="2"/>
    <col width="12.7265625" bestFit="1" customWidth="1" style="1" min="3" max="3"/>
    <col width="14" bestFit="1" customWidth="1" style="1" min="4" max="4"/>
    <col width="1.6328125" customWidth="1" style="1" min="5" max="5"/>
    <col width="29" customWidth="1" style="1" min="6" max="6"/>
    <col width="10.08984375" bestFit="1" customWidth="1" style="1" min="7" max="7"/>
    <col width="1.6328125" customWidth="1" style="1" min="8" max="8"/>
    <col width="25" customWidth="1" style="1" min="9" max="9"/>
    <col width="10.08984375" customWidth="1" style="1" min="10" max="10"/>
    <col width="11.6328125" bestFit="1" customWidth="1" style="1" min="11" max="11"/>
    <col width="10.08984375" customWidth="1" style="1" min="12" max="12"/>
    <col width="9.90625"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7.36328125" bestFit="1"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6"/>
    <col width="11" bestFit="1" customWidth="1" style="1" min="37" max="37"/>
    <col width="10.6328125" bestFit="1" customWidth="1" style="1" min="38" max="38"/>
    <col width="8.90625" customWidth="1" style="1" min="39" max="44"/>
    <col width="11" bestFit="1" customWidth="1" style="1" min="45" max="45"/>
    <col width="8.90625" customWidth="1" style="1" min="46" max="54"/>
    <col width="12" bestFit="1" customWidth="1" style="1" min="55" max="55"/>
    <col width="8.90625" customWidth="1" style="1" min="56" max="56"/>
    <col width="9.36328125" bestFit="1" customWidth="1" style="1" min="57" max="57"/>
    <col width="8.90625" customWidth="1" style="1" min="58" max="60"/>
    <col width="10" bestFit="1" customWidth="1" style="1" min="61" max="61"/>
    <col width="8.90625" customWidth="1" style="1" min="62" max="62"/>
    <col width="10" bestFit="1" customWidth="1" style="1" min="63" max="63"/>
    <col width="12" bestFit="1" customWidth="1" style="1" min="64" max="64"/>
    <col width="11" bestFit="1" customWidth="1" style="1" min="65" max="65"/>
    <col width="8.90625" customWidth="1" style="1" min="66" max="66"/>
    <col width="12" bestFit="1" customWidth="1" style="1" min="67" max="67"/>
    <col width="12.90625" customWidth="1" style="1" min="68" max="68"/>
    <col width="12" bestFit="1" customWidth="1" style="1" min="69" max="69"/>
    <col width="10.08984375" customWidth="1" style="1" min="70" max="70"/>
    <col width="12.6328125" bestFit="1" customWidth="1" style="1" min="71" max="71"/>
    <col width="8.90625" customWidth="1" style="1" min="72" max="72"/>
    <col width="8.90625" customWidth="1" style="1" min="73"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11</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t="n"/>
      <c r="BS2" s="96" t="n"/>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n"/>
      <c r="BS5" s="107" t="n"/>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417"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418"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0"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410"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368">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8" t="n"/>
      <c r="U20" s="376"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412"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F18+Oct!F22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71"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24"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1"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92"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93"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69"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1"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93"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69"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69" t="n"/>
      <c r="O40" s="370"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B41" s="62" t="n"/>
      <c r="C41" s="62" t="n"/>
      <c r="D41" s="166" t="n"/>
      <c r="E41" s="182" t="n"/>
      <c r="F41" s="182" t="n"/>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B42" s="62" t="n"/>
      <c r="C42" s="62" t="n"/>
      <c r="D42" s="166" t="n"/>
      <c r="E42" s="182" t="n"/>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B43" s="62" t="n"/>
      <c r="C43" s="62" t="n"/>
      <c r="D43" s="166" t="n"/>
      <c r="E43" s="182" t="n"/>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B44" s="62" t="n"/>
      <c r="C44" s="62" t="n"/>
      <c r="D44" s="166" t="n"/>
      <c r="E44" s="182" t="n"/>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5" ht="14" customHeight="1" s="304">
      <c r="B45" s="62" t="n"/>
      <c r="C45" s="62" t="n"/>
      <c r="D45" s="166" t="n"/>
      <c r="F45" s="176" t="n"/>
      <c r="BM45" s="182" t="n"/>
    </row>
    <row r="46" ht="14" customHeight="1" s="304">
      <c r="B46" s="62" t="n"/>
      <c r="C46" s="62" t="n"/>
      <c r="D46" s="166" t="n"/>
      <c r="F46" s="176" t="n"/>
    </row>
    <row r="47" ht="40" customHeight="1" s="304">
      <c r="B47" s="448" t="inlineStr">
        <is>
          <t>Transactions this month
One row per posted line. These rows are not included in the totals above. Payments are not listed.</t>
        </is>
      </c>
    </row>
    <row r="48" ht="32" customHeight="1" s="304">
      <c r="B48" s="449" t="inlineStr">
        <is>
          <t>Card</t>
        </is>
      </c>
      <c r="C48" s="453" t="inlineStr">
        <is>
          <t>Trans date</t>
        </is>
      </c>
      <c r="D48" s="454" t="inlineStr">
        <is>
          <t>Post date</t>
        </is>
      </c>
      <c r="E48" s="45" t="n"/>
      <c r="F48" s="449"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45" t="n"/>
      <c r="C49" s="47" t="n"/>
      <c r="D49" s="168" t="n"/>
      <c r="E49" s="45" t="n"/>
      <c r="G49" s="461" t="n"/>
    </row>
    <row r="50" ht="14" customHeight="1" s="304">
      <c r="B50" s="45" t="n"/>
      <c r="C50" s="47" t="n"/>
      <c r="D50" s="168" t="n"/>
      <c r="E50" s="45" t="n"/>
      <c r="G50" s="461" t="n"/>
    </row>
    <row r="51" ht="14" customHeight="1" s="304">
      <c r="B51" s="45" t="n"/>
      <c r="C51" s="47" t="n"/>
      <c r="D51" s="168" t="n"/>
      <c r="E51" s="45" t="n"/>
      <c r="G51" s="461" t="n"/>
    </row>
    <row r="52" ht="14" customHeight="1" s="304">
      <c r="B52" s="45" t="n"/>
      <c r="C52" s="47" t="n"/>
      <c r="D52" s="168" t="n"/>
      <c r="E52" s="45" t="n"/>
      <c r="F52" s="62" t="n"/>
      <c r="G52" s="461" t="n"/>
    </row>
    <row r="53" ht="14" customHeight="1" s="304">
      <c r="B53" s="45" t="n"/>
      <c r="C53" s="47" t="n"/>
      <c r="D53" s="168" t="n"/>
      <c r="E53" s="45" t="n"/>
      <c r="F53" s="62" t="n"/>
      <c r="G53" s="461" t="n"/>
    </row>
    <row r="54" ht="14" customHeight="1" s="304">
      <c r="B54" s="45" t="n"/>
      <c r="C54" s="47" t="n"/>
      <c r="D54" s="168" t="n"/>
      <c r="E54" s="45" t="n"/>
      <c r="F54" s="62" t="n"/>
      <c r="G54" s="461" t="n"/>
    </row>
    <row r="55" ht="14" customHeight="1" s="304">
      <c r="B55" s="45" t="n"/>
      <c r="C55" s="47" t="n"/>
      <c r="D55" s="168" t="n"/>
      <c r="E55" s="45" t="n"/>
      <c r="F55" s="62" t="n"/>
      <c r="G55" s="461" t="n"/>
    </row>
    <row r="56" ht="14" customHeight="1" s="304">
      <c r="B56" s="45" t="n"/>
      <c r="C56" s="47" t="n"/>
      <c r="D56" s="168" t="n"/>
      <c r="E56" s="45" t="n"/>
      <c r="G56" s="461" t="n"/>
    </row>
    <row r="57" ht="14" customHeight="1" s="304">
      <c r="B57" s="45" t="n"/>
      <c r="C57" s="47" t="n"/>
      <c r="D57" s="168" t="n"/>
      <c r="E57" s="45" t="n"/>
      <c r="F57" s="176" t="n"/>
      <c r="G57" s="166" t="n"/>
      <c r="H57" s="176" t="n"/>
    </row>
    <row r="58" ht="14" customHeight="1" s="304">
      <c r="B58" s="45" t="n"/>
      <c r="C58" s="47" t="n"/>
      <c r="D58" s="168" t="n"/>
      <c r="E58" s="45" t="n"/>
      <c r="G58" s="461" t="n"/>
    </row>
    <row r="59" ht="14" customHeight="1" s="304">
      <c r="B59" s="62" t="n"/>
      <c r="C59" s="62" t="n"/>
      <c r="D59" s="247" t="n"/>
      <c r="G59" s="461" t="n"/>
    </row>
    <row r="60" ht="14" customHeight="1" s="304">
      <c r="B60" s="62" t="n"/>
      <c r="C60" s="167" t="n"/>
      <c r="F60" s="62" t="n"/>
      <c r="G60" s="168" t="n"/>
    </row>
    <row r="61" ht="14" customHeight="1" s="304">
      <c r="B61" s="62" t="n"/>
      <c r="C61" s="167" t="n"/>
      <c r="F61" s="62" t="n"/>
      <c r="G61" s="168" t="n"/>
      <c r="H61" s="166" t="n"/>
    </row>
    <row r="62" ht="14" customHeight="1" s="304">
      <c r="B62" s="62" t="n"/>
      <c r="C62" s="167" t="n"/>
      <c r="D62" s="62" t="n"/>
      <c r="G62" s="461" t="n"/>
    </row>
    <row r="63" ht="14" customHeight="1" s="304">
      <c r="B63" s="62" t="n"/>
      <c r="C63" s="167" t="n"/>
      <c r="G63" s="461" t="n"/>
    </row>
    <row r="64" ht="14" customHeight="1" s="304">
      <c r="B64" s="176" t="n"/>
      <c r="C64" s="176" t="n"/>
      <c r="D64" s="176" t="n"/>
      <c r="G64" s="461" t="n"/>
    </row>
    <row r="65">
      <c r="G65" s="461" t="n"/>
    </row>
    <row r="66">
      <c r="G66" s="461" t="n"/>
    </row>
    <row r="67" ht="14" customHeight="1" s="304">
      <c r="B67" s="62" t="n"/>
      <c r="C67" s="62" t="n"/>
      <c r="G67" s="461" t="n"/>
    </row>
    <row r="68" ht="14" customHeight="1" s="304">
      <c r="B68" s="62" t="n"/>
      <c r="C68" s="62" t="n"/>
      <c r="D68" s="166" t="n"/>
      <c r="G68" s="461" t="n"/>
    </row>
    <row r="69" ht="14" customHeight="1" s="304">
      <c r="B69" s="176" t="n"/>
      <c r="C69" s="176" t="n"/>
      <c r="D69" s="176" t="n"/>
      <c r="G69" s="461" t="n"/>
    </row>
    <row r="70">
      <c r="G70" s="461" t="n"/>
    </row>
    <row r="71">
      <c r="G71" s="461" t="n"/>
    </row>
    <row r="72" ht="14" customHeight="1" s="304">
      <c r="B72" s="62" t="n"/>
      <c r="C72" s="62" t="n"/>
      <c r="G72" s="461" t="n"/>
    </row>
    <row r="73" ht="14" customHeight="1" s="304">
      <c r="B73" s="62" t="n"/>
      <c r="C73" s="62" t="n"/>
      <c r="D73" s="166" t="n"/>
      <c r="G73" s="461" t="n"/>
    </row>
    <row r="74">
      <c r="G74" s="461" t="n"/>
    </row>
    <row r="75">
      <c r="G75" s="461" t="n"/>
    </row>
    <row r="76" ht="15" customHeight="1" s="304">
      <c r="B76" s="249" t="n"/>
      <c r="C76" s="249" t="n"/>
      <c r="D76" s="249" t="n"/>
      <c r="E76" s="414" t="n"/>
      <c r="F76" s="249" t="n"/>
      <c r="G76" s="462" t="n"/>
    </row>
    <row r="77" ht="14" customHeight="1" s="304">
      <c r="B77" s="437" t="n"/>
      <c r="E77" s="438" t="n"/>
      <c r="G77" s="461" t="n"/>
    </row>
    <row r="78" ht="14" customHeight="1" s="304">
      <c r="B78" s="437" t="n"/>
      <c r="E78" s="438" t="n"/>
      <c r="G78" s="461" t="n"/>
      <c r="I78" s="176" t="n"/>
      <c r="J78" s="176" t="n"/>
      <c r="K78" s="176" t="n"/>
    </row>
    <row r="79" ht="14" customHeight="1" s="304">
      <c r="B79" s="437" t="n"/>
      <c r="E79" s="438" t="n"/>
      <c r="G79" s="463" t="n"/>
    </row>
    <row r="80" ht="14" customHeight="1" s="304">
      <c r="B80" s="437" t="n"/>
      <c r="E80" s="438" t="n"/>
      <c r="G80" s="461" t="n"/>
    </row>
    <row r="81" ht="14" customHeight="1" s="304">
      <c r="B81" s="437" t="n"/>
      <c r="E81" s="438" t="n"/>
      <c r="G81" s="463" t="n"/>
      <c r="I81" s="62" t="n"/>
      <c r="J81" s="62" t="n"/>
    </row>
    <row r="82" ht="14" customHeight="1" s="304">
      <c r="B82" s="437" t="n"/>
      <c r="E82" s="438" t="n"/>
      <c r="G82" s="463" t="n"/>
      <c r="I82" s="62" t="n"/>
      <c r="J82" s="62" t="n"/>
      <c r="K82" s="166" t="n"/>
    </row>
    <row r="83" ht="14" customHeight="1" s="304">
      <c r="B83" s="437" t="n"/>
      <c r="E83" s="438" t="n"/>
      <c r="G83" s="463" t="n"/>
    </row>
    <row r="84" ht="14" customHeight="1" s="304">
      <c r="B84" s="437" t="n"/>
      <c r="E84" s="438" t="n"/>
      <c r="G84" s="461" t="n"/>
      <c r="I84" s="176" t="n"/>
      <c r="J84" s="176" t="n"/>
      <c r="K84" s="176" t="n"/>
    </row>
    <row r="85" ht="14" customHeight="1" s="304">
      <c r="B85" s="437" t="n"/>
      <c r="E85" s="438" t="n"/>
      <c r="G85" s="461" t="n"/>
    </row>
    <row r="86" ht="14" customHeight="1" s="304">
      <c r="B86" s="437" t="n"/>
      <c r="E86" s="438" t="n"/>
      <c r="G86" s="461" t="n"/>
    </row>
    <row r="87" ht="14" customHeight="1" s="304">
      <c r="B87" s="437" t="n"/>
      <c r="E87" s="438" t="n"/>
      <c r="G87" s="461" t="n"/>
      <c r="I87" s="62" t="n"/>
      <c r="J87" s="62" t="n"/>
    </row>
    <row r="88" ht="14" customHeight="1" s="304">
      <c r="B88" s="437" t="n"/>
      <c r="E88" s="438" t="n"/>
      <c r="G88" s="461" t="n"/>
      <c r="I88" s="62" t="n"/>
      <c r="J88" s="62" t="n"/>
      <c r="K88" s="166" t="n"/>
    </row>
    <row r="89" ht="14" customHeight="1" s="304">
      <c r="B89" s="437" t="n"/>
      <c r="E89" s="438" t="n"/>
      <c r="G89" s="461" t="n"/>
    </row>
    <row r="90" ht="14" customHeight="1" s="304">
      <c r="B90" s="176" t="n"/>
      <c r="C90" s="176" t="n"/>
      <c r="D90" s="176" t="n"/>
      <c r="E90" s="438" t="n"/>
      <c r="G90" s="461" t="n"/>
    </row>
    <row r="91" ht="14" customHeight="1" s="304">
      <c r="D91" s="176" t="n"/>
      <c r="E91" s="176" t="n"/>
      <c r="F91" s="176" t="n"/>
      <c r="G91" s="166" t="n"/>
      <c r="H91" s="176" t="n"/>
      <c r="I91" s="176" t="n"/>
    </row>
    <row r="92">
      <c r="G92" s="461" t="n"/>
    </row>
    <row r="93" ht="14" customHeight="1" s="304">
      <c r="B93" s="62" t="n"/>
      <c r="C93" s="62" t="n"/>
      <c r="G93" s="461" t="n"/>
    </row>
    <row r="94" ht="14" customHeight="1" s="304">
      <c r="B94" s="62" t="n"/>
      <c r="C94" s="62" t="n"/>
      <c r="D94" s="62" t="n"/>
      <c r="E94" s="62" t="n"/>
      <c r="G94" s="168" t="n"/>
      <c r="H94" s="62" t="n"/>
    </row>
    <row r="95" ht="15" customHeight="1" s="304">
      <c r="C95" s="253" t="n"/>
      <c r="D95" s="62" t="n"/>
      <c r="E95" s="62" t="n"/>
      <c r="F95" s="166" t="n"/>
      <c r="G95" s="168" t="n"/>
      <c r="H95" s="62" t="n"/>
      <c r="I95" s="166" t="n"/>
    </row>
    <row r="96" ht="15" customHeight="1" s="304">
      <c r="C96" s="253" t="n"/>
      <c r="E96" s="414" t="n"/>
      <c r="F96" s="176" t="n"/>
      <c r="G96" s="166" t="n"/>
      <c r="H96" s="176" t="n"/>
    </row>
    <row r="97" ht="14" customHeight="1" s="304">
      <c r="C97" s="176" t="n"/>
      <c r="D97" s="176" t="n"/>
      <c r="E97" s="176" t="n"/>
      <c r="G97" s="461" t="n"/>
    </row>
    <row r="98">
      <c r="G98" s="461" t="n"/>
    </row>
    <row r="99" ht="14" customHeight="1" s="304">
      <c r="F99" s="62" t="n"/>
      <c r="G99" s="168" t="n"/>
    </row>
    <row r="100" ht="14" customHeight="1" s="304">
      <c r="C100" s="62" t="n"/>
      <c r="D100" s="62" t="n"/>
      <c r="F100" s="62" t="n"/>
      <c r="G100" s="168" t="n"/>
      <c r="H100" s="166" t="n"/>
    </row>
    <row r="101" ht="14" customHeight="1" s="304">
      <c r="C101" s="62" t="n"/>
      <c r="D101" s="62" t="n"/>
      <c r="E101" s="166" t="n"/>
      <c r="G101" s="461" t="n"/>
    </row>
    <row r="102" ht="14" customHeight="1" s="304">
      <c r="D102" s="62" t="n"/>
      <c r="E102" s="62" t="n"/>
      <c r="F102" s="166" t="n"/>
      <c r="G102" s="461" t="n"/>
    </row>
    <row r="103" ht="14" customHeight="1" s="304">
      <c r="D103" s="438" t="n"/>
      <c r="E103" s="438" t="n"/>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AX4:AY4"/>
    <mergeCell ref="I30:I31"/>
    <mergeCell ref="AF3:AG3"/>
    <mergeCell ref="AD3:AE3"/>
    <mergeCell ref="F22:G23"/>
    <mergeCell ref="AH3:AI3"/>
    <mergeCell ref="I17:I19"/>
    <mergeCell ref="BH4:BI4"/>
    <mergeCell ref="AN3:AO3"/>
    <mergeCell ref="BJ4:BK4"/>
    <mergeCell ref="AP3:AQ3"/>
    <mergeCell ref="BB3:BC3"/>
    <mergeCell ref="B47:I47"/>
    <mergeCell ref="B150:I150"/>
    <mergeCell ref="AB4:AC4"/>
    <mergeCell ref="R4:S4"/>
    <mergeCell ref="T4:U4"/>
    <mergeCell ref="AT3:AU3"/>
    <mergeCell ref="BD3:BE3"/>
    <mergeCell ref="BF3:BG3"/>
    <mergeCell ref="L3:M3"/>
    <mergeCell ref="N3:O3"/>
    <mergeCell ref="BP4:BQ4"/>
    <mergeCell ref="AH4:AI4"/>
    <mergeCell ref="AN4:AO4"/>
    <mergeCell ref="BH3:BI3"/>
    <mergeCell ref="BN3:BO3"/>
    <mergeCell ref="BP3:BQ3"/>
    <mergeCell ref="AV3:AW3"/>
    <mergeCell ref="BR3:BS3"/>
    <mergeCell ref="AP4:AQ4"/>
    <mergeCell ref="AB3:AC3"/>
    <mergeCell ref="AR4:AS4"/>
    <mergeCell ref="X3:Y3"/>
    <mergeCell ref="I22:I27"/>
    <mergeCell ref="AT4:AU4"/>
    <mergeCell ref="AZ4:BA4"/>
    <mergeCell ref="Z3:AA3"/>
    <mergeCell ref="AV4:AW4"/>
    <mergeCell ref="BB4:BC4"/>
    <mergeCell ref="J4:K4"/>
    <mergeCell ref="BD4:BE4"/>
    <mergeCell ref="L4:M4"/>
    <mergeCell ref="AJ3:AK3"/>
    <mergeCell ref="AL3:AM3"/>
    <mergeCell ref="BL4:BM4"/>
    <mergeCell ref="BF4:BG4"/>
    <mergeCell ref="BN4:BO4"/>
    <mergeCell ref="AF4:AG4"/>
    <mergeCell ref="F26:G39"/>
    <mergeCell ref="R3:S3"/>
    <mergeCell ref="I6:I16"/>
    <mergeCell ref="P4:Q4"/>
    <mergeCell ref="X4:Y4"/>
    <mergeCell ref="J3:K3"/>
    <mergeCell ref="BR4:BS4"/>
    <mergeCell ref="Z4:AA4"/>
    <mergeCell ref="AJ4:AK4"/>
    <mergeCell ref="BJ3:BK3"/>
    <mergeCell ref="AL4:AM4"/>
    <mergeCell ref="BL3:BM3"/>
    <mergeCell ref="AX3:AY3"/>
    <mergeCell ref="AZ3:BA3"/>
    <mergeCell ref="P3:Q3"/>
    <mergeCell ref="F18:G19"/>
    <mergeCell ref="AR3:AS3"/>
    <mergeCell ref="V4:W4"/>
    <mergeCell ref="T3:U3"/>
    <mergeCell ref="AD4:AE4"/>
    <mergeCell ref="V3:W3"/>
    <mergeCell ref="N4:O4"/>
  </mergeCells>
  <conditionalFormatting sqref="A1:H2 A3:I4 A5:A55 A57:A73 A74:XFD77 A78:H82 A83:XFD83 A84:H88 A89:XFD89 A90:A94 A95:C95 A96:E96 A97:B101 A102:C102 A103:XFD65527 B5:H5 B35:E40 C62:E63 E20:G21 E23:E24 E25:F26 E27:E34 E67:XFD69 E68:F72 E71:XFD73 F6:G14 F17:G17 F40:G40 F47:XFD48 F62:G65 G41:G44 G45:XFD46 G49:XFD49 G52:XFD55 G70:XFD70 H6:H44 H62:XFD66 I2 I5:I6 I9 I42:I44 I57:XFD61 I96:XFD100 J5:BS16 J91:XFD95 L78:XFD82 L84:XFD88 BT1:IV44">
    <cfRule type="cellIs" priority="739" operator="equal" dxfId="0" stopIfTrue="1">
      <formula>"Sun"</formula>
    </cfRule>
  </conditionalFormatting>
  <conditionalFormatting sqref="A1:H2 A3:I4 A5:A55 A57:A73 A74:XFD77 A78:H82 A83:XFD83 A84:H88 A89:XFD89 A90:A94 A95:C95 A96:E96 A97:B101 A102:C102 A103:XFD65527 B5:H5 B35:E40 C62:E63 E20:G21 E23:E24 E25:F26 E27:E34 E67:XFD69 E68:F72 E71:XFD73 F6:G14 F17:G17 F40:G40 F47:XFD48 F62:G65 G41:G44 G45:XFD46 G49:XFD49 G52:XFD55 G70:XFD70 H6:H44 H62:XFD66 I2 I5:I6 I9 I57:XFD61 I96:XFD100 J5:BS16 J91:XFD95 L78:XFD82 L84:XFD88 BT1:IV44">
    <cfRule type="cellIs" priority="738" operator="equal" dxfId="5" stopIfTrue="1">
      <formula>"Sat"</formula>
    </cfRule>
  </conditionalFormatting>
  <conditionalFormatting sqref="B18:B32">
    <cfRule type="cellIs" priority="54" operator="equal" dxfId="5" stopIfTrue="1">
      <formula>"Sat"</formula>
    </cfRule>
    <cfRule type="cellIs" priority="55" operator="equal" dxfId="0" stopIfTrue="1">
      <formula>"Sun"</formula>
    </cfRule>
  </conditionalFormatting>
  <conditionalFormatting sqref="B33:D34">
    <cfRule type="cellIs" priority="126" operator="equal" dxfId="5" stopIfTrue="1">
      <formula>"Sat"</formula>
    </cfRule>
    <cfRule type="cellIs" priority="127" operator="equal" dxfId="0" stopIfTrue="1">
      <formula>"Sun"</formula>
    </cfRule>
  </conditionalFormatting>
  <conditionalFormatting sqref="B69:D71 D72:D73">
    <cfRule type="cellIs" priority="557" operator="equal" dxfId="0" stopIfTrue="1">
      <formula>"Sun"</formula>
    </cfRule>
    <cfRule type="cellIs" priority="556" operator="equal" dxfId="5" stopIfTrue="1">
      <formula>"Sat"</formula>
    </cfRule>
  </conditionalFormatting>
  <conditionalFormatting sqref="B6:E17">
    <cfRule type="cellIs" priority="579" operator="equal" dxfId="0" stopIfTrue="1">
      <formula>"Sun"</formula>
    </cfRule>
    <cfRule type="cellIs" priority="578" operator="equal" dxfId="5" stopIfTrue="1">
      <formula>"Sat"</formula>
    </cfRule>
  </conditionalFormatting>
  <conditionalFormatting sqref="B64:E66 D67:D68">
    <cfRule type="cellIs" priority="559" operator="equal" dxfId="0" stopIfTrue="1">
      <formula>"Sun"</formula>
    </cfRule>
    <cfRule type="cellIs" priority="558" operator="equal" dxfId="5" stopIfTrue="1">
      <formula>"Sat"</formula>
    </cfRule>
  </conditionalFormatting>
  <conditionalFormatting sqref="B90:XFD90 B91:C92">
    <cfRule type="cellIs" priority="572" operator="equal" dxfId="5" stopIfTrue="1">
      <formula>"Sat"</formula>
    </cfRule>
    <cfRule type="cellIs" priority="573" operator="equal" dxfId="0" stopIfTrue="1">
      <formula>"Sun"</formula>
    </cfRule>
  </conditionalFormatting>
  <conditionalFormatting sqref="C27">
    <cfRule type="cellIs" priority="33" operator="equal" dxfId="5" stopIfTrue="1">
      <formula>"Sat"</formula>
    </cfRule>
    <cfRule type="cellIs" priority="34" operator="equal" dxfId="0" stopIfTrue="1">
      <formula>"Sun"</formula>
    </cfRule>
  </conditionalFormatting>
  <conditionalFormatting sqref="C29:C30">
    <cfRule type="cellIs" priority="21" operator="equal" dxfId="5" stopIfTrue="1">
      <formula>"Sat"</formula>
    </cfRule>
    <cfRule type="cellIs" priority="22" operator="equal" dxfId="0" stopIfTrue="1">
      <formula>"Sun"</formula>
    </cfRule>
  </conditionalFormatting>
  <conditionalFormatting sqref="C21:D21">
    <cfRule type="cellIs" priority="27" operator="equal" dxfId="5" stopIfTrue="1">
      <formula>"Sat"</formula>
    </cfRule>
    <cfRule type="cellIs" priority="28" operator="equal" dxfId="0" stopIfTrue="1">
      <formula>"Sun"</formula>
    </cfRule>
  </conditionalFormatting>
  <conditionalFormatting sqref="C24:D24">
    <cfRule type="cellIs" priority="31" operator="equal" dxfId="5" stopIfTrue="1">
      <formula>"Sat"</formula>
    </cfRule>
    <cfRule type="cellIs" priority="32" operator="equal" dxfId="0" stopIfTrue="1">
      <formula>"Sun"</formula>
    </cfRule>
  </conditionalFormatting>
  <conditionalFormatting sqref="C26:D26">
    <cfRule type="cellIs" priority="46" operator="equal" dxfId="0" stopIfTrue="1">
      <formula>"Sun"</formula>
    </cfRule>
    <cfRule type="cellIs" priority="45" operator="equal" dxfId="5" stopIfTrue="1">
      <formula>"Sat"</formula>
    </cfRule>
  </conditionalFormatting>
  <conditionalFormatting sqref="C31:D32">
    <cfRule type="cellIs" priority="47" operator="equal" dxfId="5" stopIfTrue="1">
      <formula>"Sat"</formula>
    </cfRule>
    <cfRule type="cellIs" priority="48" operator="equal" dxfId="0" stopIfTrue="1">
      <formula>"Sun"</formula>
    </cfRule>
  </conditionalFormatting>
  <conditionalFormatting sqref="C19:E19 D27:D28">
    <cfRule type="cellIs" priority="49" operator="equal" dxfId="5" stopIfTrue="1">
      <formula>"Sat"</formula>
    </cfRule>
    <cfRule type="cellIs" priority="50" operator="equal" dxfId="0" stopIfTrue="1">
      <formula>"Sun"</formula>
    </cfRule>
  </conditionalFormatting>
  <conditionalFormatting sqref="C97:E99 E100:E101">
    <cfRule type="cellIs" priority="564" operator="equal" dxfId="5" stopIfTrue="1">
      <formula>"Sat"</formula>
    </cfRule>
    <cfRule type="cellIs" priority="565" operator="equal" dxfId="0" stopIfTrue="1">
      <formula>"Sun"</formula>
    </cfRule>
  </conditionalFormatting>
  <conditionalFormatting sqref="C18:F18">
    <cfRule type="cellIs" priority="24" operator="equal" dxfId="0" stopIfTrue="1">
      <formula>"Sun"</formula>
    </cfRule>
    <cfRule type="cellIs" priority="23" operator="equal" dxfId="5" stopIfTrue="1">
      <formula>"Sat"</formula>
    </cfRule>
  </conditionalFormatting>
  <conditionalFormatting sqref="C22:F22">
    <cfRule type="cellIs" priority="35" operator="equal" dxfId="5" stopIfTrue="1">
      <formula>"Sat"</formula>
    </cfRule>
    <cfRule type="cellIs" priority="36" operator="equal" dxfId="0" stopIfTrue="1">
      <formula>"Sun"</formula>
    </cfRule>
  </conditionalFormatting>
  <conditionalFormatting sqref="D42:E47 F50:XFD51">
    <cfRule type="cellIs" priority="513" operator="equal" dxfId="0" stopIfTrue="1">
      <formula>"Sun"</formula>
    </cfRule>
    <cfRule type="cellIs" priority="512" operator="equal" dxfId="5" stopIfTrue="1">
      <formula>"Sat"</formula>
    </cfRule>
  </conditionalFormatting>
  <conditionalFormatting sqref="D41:F41">
    <cfRule type="cellIs" priority="515" operator="equal" dxfId="0" stopIfTrue="1">
      <formula>"Sun"</formula>
    </cfRule>
    <cfRule type="cellIs" priority="514" operator="equal" dxfId="5" stopIfTrue="1">
      <formula>"Sat"</formula>
    </cfRule>
  </conditionalFormatting>
  <conditionalFormatting sqref="D91:I93 I94:I95">
    <cfRule type="cellIs" priority="568" operator="equal" dxfId="5" stopIfTrue="1">
      <formula>"Sat"</formula>
    </cfRule>
    <cfRule type="cellIs" priority="569" operator="equal" dxfId="0" stopIfTrue="1">
      <formula>"Sun"</formula>
    </cfRule>
  </conditionalFormatting>
  <conditionalFormatting sqref="E59:E61">
    <cfRule type="cellIs" priority="20" operator="equal" dxfId="0" stopIfTrue="1">
      <formula>"Sun"</formula>
    </cfRule>
    <cfRule type="cellIs" priority="19" operator="equal" dxfId="5" stopIfTrue="1">
      <formula>"Sat"</formula>
    </cfRule>
  </conditionalFormatting>
  <conditionalFormatting sqref="F42:F46">
    <cfRule type="cellIs" priority="527" operator="equal" dxfId="0" stopIfTrue="1">
      <formula>"Sun"</formula>
    </cfRule>
    <cfRule type="cellIs" priority="526" operator="equal" dxfId="5" stopIfTrue="1">
      <formula>"Sat"</formula>
    </cfRule>
  </conditionalFormatting>
  <conditionalFormatting sqref="F94:F95">
    <cfRule type="cellIs" priority="571" operator="equal" dxfId="0" stopIfTrue="1">
      <formula>"Sun"</formula>
    </cfRule>
    <cfRule type="cellIs" priority="570" operator="equal" dxfId="5" stopIfTrue="1">
      <formula>"Sat"</formula>
    </cfRule>
  </conditionalFormatting>
  <conditionalFormatting sqref="F57:H59 H60:H61">
    <cfRule type="cellIs" priority="554" operator="equal" dxfId="5" stopIfTrue="1">
      <formula>"Sat"</formula>
    </cfRule>
    <cfRule type="cellIs" priority="555" operator="equal" dxfId="0" stopIfTrue="1">
      <formula>"Sun"</formula>
    </cfRule>
  </conditionalFormatting>
  <conditionalFormatting sqref="F96:H98 H99:H100">
    <cfRule type="cellIs" priority="567" operator="equal" dxfId="0" stopIfTrue="1">
      <formula>"Sun"</formula>
    </cfRule>
    <cfRule type="cellIs" priority="566" operator="equal" dxfId="5" stopIfTrue="1">
      <formula>"Sat"</formula>
    </cfRule>
  </conditionalFormatting>
  <conditionalFormatting sqref="F101:XFD102">
    <cfRule type="cellIs" priority="575" operator="equal" dxfId="0" stopIfTrue="1">
      <formula>"Sun"</formula>
    </cfRule>
    <cfRule type="cellIs" priority="574" operator="equal" dxfId="5" stopIfTrue="1">
      <formula>"Sat"</formula>
    </cfRule>
  </conditionalFormatting>
  <conditionalFormatting sqref="I20:I37">
    <cfRule type="cellIs" priority="699" operator="equal" dxfId="0" stopIfTrue="1">
      <formula>"Sun"</formula>
    </cfRule>
    <cfRule type="cellIs" priority="698" operator="equal" dxfId="5" stopIfTrue="1">
      <formula>"Sat"</formula>
    </cfRule>
  </conditionalFormatting>
  <conditionalFormatting sqref="I78:K80 K81:K82">
    <cfRule type="cellIs" priority="561" operator="equal" dxfId="0" stopIfTrue="1">
      <formula>"Sun"</formula>
    </cfRule>
    <cfRule type="cellIs" priority="560" operator="equal" dxfId="5" stopIfTrue="1">
      <formula>"Sat"</formula>
    </cfRule>
  </conditionalFormatting>
  <conditionalFormatting sqref="I84:K86 K87:K88">
    <cfRule type="cellIs" priority="563" operator="equal" dxfId="0" stopIfTrue="1">
      <formula>"Sun"</formula>
    </cfRule>
    <cfRule type="cellIs" priority="562" operator="equal" dxfId="5" stopIfTrue="1">
      <formula>"Sat"</formula>
    </cfRule>
  </conditionalFormatting>
  <conditionalFormatting sqref="I17:BS17">
    <cfRule type="cellIs" priority="12" operator="equal" dxfId="0" stopIfTrue="1">
      <formula>"Sun"</formula>
    </cfRule>
    <cfRule type="cellIs" priority="11" operator="equal" dxfId="5" stopIfTrue="1">
      <formula>"Sat"</formula>
    </cfRule>
  </conditionalFormatting>
  <conditionalFormatting sqref="I42:BS44">
    <cfRule type="cellIs" priority="172" operator="equal" dxfId="5" stopIfTrue="1">
      <formula>"Sat"</formula>
    </cfRule>
  </conditionalFormatting>
  <conditionalFormatting sqref="J37:O40">
    <cfRule type="cellIs" priority="5" operator="equal" dxfId="5" stopIfTrue="1">
      <formula>"Sat"</formula>
    </cfRule>
    <cfRule type="cellIs" priority="6" operator="equal" dxfId="0" stopIfTrue="1">
      <formula>"Sun"</formula>
    </cfRule>
  </conditionalFormatting>
  <conditionalFormatting sqref="J22:AO26">
    <cfRule type="cellIs" priority="88" operator="equal" dxfId="5" stopIfTrue="1">
      <formula>"Sat"</formula>
    </cfRule>
    <cfRule type="cellIs" priority="89" operator="equal" dxfId="0" stopIfTrue="1">
      <formula>"Sun"</formula>
    </cfRule>
  </conditionalFormatting>
  <conditionalFormatting sqref="J27:BR36">
    <cfRule type="cellIs" priority="1" operator="equal" dxfId="5" stopIfTrue="1">
      <formula>"Sat"</formula>
    </cfRule>
    <cfRule type="cellIs" priority="2" operator="equal" dxfId="0" stopIfTrue="1">
      <formula>"Sun"</formula>
    </cfRule>
  </conditionalFormatting>
  <conditionalFormatting sqref="J18:BS21">
    <cfRule type="cellIs" priority="9" operator="equal" dxfId="5" stopIfTrue="1">
      <formula>"Sat"</formula>
    </cfRule>
    <cfRule type="cellIs" priority="10" operator="equal" dxfId="0" stopIfTrue="1">
      <formula>"Sun"</formula>
    </cfRule>
  </conditionalFormatting>
  <conditionalFormatting sqref="J41:BS44 P39:BS40">
    <cfRule type="cellIs" priority="173" operator="equal" dxfId="0" stopIfTrue="1">
      <formula>"Sun"</formula>
    </cfRule>
  </conditionalFormatting>
  <conditionalFormatting sqref="P37:BS38">
    <cfRule type="cellIs" priority="16" operator="equal" dxfId="0" stopIfTrue="1">
      <formula>"Sun"</formula>
    </cfRule>
    <cfRule type="cellIs" priority="15" operator="equal" dxfId="5" stopIfTrue="1">
      <formula>"Sat"</formula>
    </cfRule>
  </conditionalFormatting>
  <conditionalFormatting sqref="J41:BS41 P39:BS40">
    <cfRule type="cellIs" priority="56" operator="equal" dxfId="5" stopIfTrue="1">
      <formula>"Sat"</formula>
    </cfRule>
  </conditionalFormatting>
  <conditionalFormatting sqref="R39:S39">
    <cfRule type="cellIs" priority="51" operator="equal" dxfId="0" stopIfTrue="1">
      <formula>"Sun"</formula>
    </cfRule>
  </conditionalFormatting>
  <conditionalFormatting sqref="AP23:BR26">
    <cfRule type="cellIs" priority="4" operator="equal" dxfId="0" stopIfTrue="1">
      <formula>"Sun"</formula>
    </cfRule>
    <cfRule type="cellIs" priority="3" operator="equal" dxfId="5" stopIfTrue="1">
      <formula>"Sat"</formula>
    </cfRule>
  </conditionalFormatting>
  <conditionalFormatting sqref="AP22:BS22">
    <cfRule type="cellIs" priority="169" operator="equal" dxfId="0" stopIfTrue="1">
      <formula>"Sun"</formula>
    </cfRule>
    <cfRule type="cellIs" priority="168" operator="equal" dxfId="5" stopIfTrue="1">
      <formula>"Sat"</formula>
    </cfRule>
  </conditionalFormatting>
  <conditionalFormatting sqref="BS23:BS36">
    <cfRule type="cellIs" priority="182" operator="equal" dxfId="5" stopIfTrue="1">
      <formula>"Sat"</formula>
    </cfRule>
    <cfRule type="cellIs" priority="183"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13.xml><?xml version="1.0" encoding="utf-8"?>
<worksheet xmlns="http://schemas.openxmlformats.org/spreadsheetml/2006/main">
  <sheetPr>
    <tabColor indexed="44"/>
    <outlinePr summaryBelow="1" summaryRight="1"/>
    <pageSetUpPr/>
  </sheetPr>
  <dimension ref="A1:CG301"/>
  <sheetViews>
    <sheetView showGridLines="0" zoomScale="70" zoomScaleNormal="70" zoomScaleSheetLayoutView="50" workbookViewId="0">
      <pane xSplit="9" ySplit="5" topLeftCell="J6" activePane="bottomRight" state="frozen"/>
      <selection pane="topRight" activeCell="A1" sqref="A1"/>
      <selection pane="bottomLeft" activeCell="A1" sqref="A1"/>
      <selection pane="bottomRight" activeCell="BL31" sqref="BL31"/>
      <selection pane="topRight" activeCell="BL31" sqref="BL31"/>
      <selection pane="bottomLeft" activeCell="BL31" sqref="BL31"/>
      <selection pane="bottomRight" activeCell="BJ17" sqref="BJ17"/>
    </sheetView>
  </sheetViews>
  <sheetFormatPr baseColWidth="8" defaultColWidth="8.90625" defaultRowHeight="13.5"/>
  <cols>
    <col width="1.08984375" customWidth="1" style="1" min="1" max="1"/>
    <col width="27" customWidth="1" style="1" min="2" max="2"/>
    <col width="12.6328125" bestFit="1" customWidth="1" style="1" min="3" max="3"/>
    <col width="14" bestFit="1" customWidth="1" style="1" min="4" max="4"/>
    <col width="1.6328125" customWidth="1" style="1" min="5" max="5"/>
    <col width="29" bestFit="1" customWidth="1" style="1" min="6" max="6"/>
    <col width="10.08984375" bestFit="1" customWidth="1" style="1" min="7" max="7"/>
    <col width="1.6328125" customWidth="1" style="1" min="8" max="8"/>
    <col width="25" customWidth="1" style="1" min="9" max="9"/>
    <col width="10.08984375" customWidth="1" style="1" min="10" max="10"/>
    <col width="11" bestFit="1" customWidth="1" style="1" min="11" max="11"/>
    <col width="10.08984375" customWidth="1" style="1" min="12" max="12"/>
    <col width="11" bestFit="1" customWidth="1" style="1" min="13" max="13"/>
    <col width="10.08984375" customWidth="1" style="1" min="14" max="14"/>
    <col width="12" bestFit="1" customWidth="1" style="1" min="15" max="15"/>
    <col width="10.08984375" customWidth="1" style="1" min="16" max="16"/>
    <col width="12" bestFit="1" customWidth="1" style="1" min="17" max="17"/>
    <col width="10.08984375" customWidth="1" style="1" min="18" max="18"/>
    <col width="12" bestFit="1" customWidth="1" style="1" min="19" max="19"/>
    <col width="10.08984375" customWidth="1" style="1" min="20" max="20"/>
    <col width="12.6328125" bestFit="1" customWidth="1" style="1" min="21" max="21"/>
    <col width="10.08984375" customWidth="1" style="1" min="22" max="22"/>
    <col width="12.6328125" bestFit="1" customWidth="1" style="1" min="23" max="23"/>
    <col width="11.6328125" customWidth="1" style="1" min="24" max="24"/>
    <col width="12.6328125" bestFit="1" customWidth="1" style="1" min="25" max="25"/>
    <col width="11.08984375" customWidth="1" style="1" min="26" max="26"/>
    <col width="12.6328125" bestFit="1" customWidth="1" style="1" min="27" max="27"/>
    <col width="9.36328125" customWidth="1" style="1" min="28" max="28"/>
    <col width="12.6328125" bestFit="1" customWidth="1" style="1" min="29" max="29"/>
    <col width="8.90625" customWidth="1" style="1" min="30" max="30"/>
    <col width="11" bestFit="1" customWidth="1" style="1" min="31" max="31"/>
    <col width="8.90625" customWidth="1" style="1" min="32" max="36"/>
    <col width="11" bestFit="1" customWidth="1" style="1" min="37" max="37"/>
    <col width="8.90625" customWidth="1" style="1" min="38" max="38"/>
    <col width="11" bestFit="1" customWidth="1" style="1" min="39" max="39"/>
    <col width="8.90625" customWidth="1" style="1" min="40" max="48"/>
    <col width="11.6328125" bestFit="1" customWidth="1" style="1" min="49" max="49"/>
    <col width="8.90625" customWidth="1" style="1" min="50" max="50"/>
    <col width="11.6328125" bestFit="1" customWidth="1" style="1" min="51" max="51"/>
    <col width="8.90625" customWidth="1" style="1" min="52" max="56"/>
    <col width="11.6328125" bestFit="1" customWidth="1" style="1" min="57" max="57"/>
    <col width="8.90625" customWidth="1" style="1" min="58" max="69"/>
    <col width="10.08984375" customWidth="1" style="1" min="70" max="70"/>
    <col width="12.6328125" bestFit="1" customWidth="1" style="1" min="71" max="71"/>
    <col width="9.36328125" bestFit="1" customWidth="1" style="1" min="72" max="72"/>
    <col width="8.90625" customWidth="1" style="1" min="73" max="73"/>
    <col width="8.90625" customWidth="1" style="1" min="74" max="16384"/>
    <col hidden="1" width="13" customWidth="1" style="304" min="79" max="79"/>
    <col hidden="1" width="13" customWidth="1" style="304" min="80" max="80"/>
    <col hidden="1" width="13" customWidth="1" style="304" min="81" max="81"/>
    <col hidden="1" width="13" customWidth="1" style="304" min="82" max="82"/>
    <col hidden="1" width="13" customWidth="1" style="304" min="83" max="83"/>
    <col hidden="1" width="13" customWidth="1" style="304" min="84" max="84"/>
    <col hidden="1" width="13" customWidth="1" style="304" min="85" max="85"/>
  </cols>
  <sheetData>
    <row r="1" ht="4.5" customHeight="1" s="304" thickBot="1">
      <c r="B1" s="87">
        <f>IF(OR(B2="",D2=""),"",DATE(B2,D2,1))</f>
        <v/>
      </c>
      <c r="C1" s="87">
        <f>IF(B1="","",DATE(YEAR(B1),MONTH(B1)+1,DAY(B1)-1))</f>
        <v/>
      </c>
      <c r="D1" s="87" t="n"/>
    </row>
    <row r="2" ht="25.5" customHeight="1" s="304" thickBot="1">
      <c r="B2" s="88">
        <f>IF('Annual Summary'!F5="","",'Annual Summary'!F5)</f>
        <v/>
      </c>
      <c r="C2" s="89" t="inlineStr">
        <is>
          <t>/</t>
        </is>
      </c>
      <c r="D2" s="90" t="n">
        <v>12</v>
      </c>
      <c r="E2" s="91" t="inlineStr">
        <is>
          <t>Monthly Household Income &amp; Expenses</t>
        </is>
      </c>
      <c r="F2" s="89" t="n"/>
      <c r="I2" s="92" t="inlineStr">
        <is>
          <t>Daily Record</t>
        </is>
      </c>
      <c r="J2" s="348">
        <f>$B$1</f>
        <v/>
      </c>
      <c r="K2" s="94">
        <f>IF(J2="","",TEXT(J2,"ddd"))</f>
        <v/>
      </c>
      <c r="L2" s="349">
        <f>IF(J2="","",IF(J2&gt;=$C$1,"",J2+1))</f>
        <v/>
      </c>
      <c r="M2" s="94">
        <f>IF(L2="","",TEXT(L2,"ddd"))</f>
        <v/>
      </c>
      <c r="N2" s="349">
        <f>IF(L2="","",IF(L2&gt;=$C$1,"",L2+1))</f>
        <v/>
      </c>
      <c r="O2" s="94">
        <f>IF(N2="","",TEXT(N2,"ddd"))</f>
        <v/>
      </c>
      <c r="P2" s="349">
        <f>IF(N2="","",IF(N2&gt;=$C$1,"",N2+1))</f>
        <v/>
      </c>
      <c r="Q2" s="94">
        <f>IF(P2="","",TEXT(P2,"ddd"))</f>
        <v/>
      </c>
      <c r="R2" s="349">
        <f>IF(P2="","",IF(P2&gt;=$C$1,"",P2+1))</f>
        <v/>
      </c>
      <c r="S2" s="94">
        <f>IF(R2="","",TEXT(R2,"ddd"))</f>
        <v/>
      </c>
      <c r="T2" s="349">
        <f>IF(R2="","",IF(R2&gt;=$C$1,"",R2+1))</f>
        <v/>
      </c>
      <c r="U2" s="94">
        <f>IF(T2="","",TEXT(T2,"ddd"))</f>
        <v/>
      </c>
      <c r="V2" s="349">
        <f>IF(T2="","",IF(T2&gt;=$C$1,"",T2+1))</f>
        <v/>
      </c>
      <c r="W2" s="96">
        <f>IF(V2="","",TEXT(V2,"ddd"))</f>
        <v/>
      </c>
      <c r="X2" s="349">
        <f>IF(V2="","",IF(V2&gt;=$C$1,"",V2+1))</f>
        <v/>
      </c>
      <c r="Y2" s="94">
        <f>IF(X2="","",TEXT(X2,"ddd"))</f>
        <v/>
      </c>
      <c r="Z2" s="349">
        <f>IF(X2="","",IF(X2&gt;=$C$1,"",X2+1))</f>
        <v/>
      </c>
      <c r="AA2" s="94">
        <f>IF(Z2="","",TEXT(Z2,"ddd"))</f>
        <v/>
      </c>
      <c r="AB2" s="349">
        <f>IF(Z2="","",IF(Z2&gt;=$C$1,"",Z2+1))</f>
        <v/>
      </c>
      <c r="AC2" s="94">
        <f>IF(AB2="","",TEXT(AB2,"ddd"))</f>
        <v/>
      </c>
      <c r="AD2" s="349">
        <f>IF(AB2="","",IF(AB2&gt;=$C$1,"",AB2+1))</f>
        <v/>
      </c>
      <c r="AE2" s="94">
        <f>IF(AD2="","",TEXT(AD2,"ddd"))</f>
        <v/>
      </c>
      <c r="AF2" s="349">
        <f>IF(AD2="","",IF(AD2&gt;=$C$1,"",AD2+1))</f>
        <v/>
      </c>
      <c r="AG2" s="94">
        <f>IF(AF2="","",TEXT(AF2,"ddd"))</f>
        <v/>
      </c>
      <c r="AH2" s="349">
        <f>IF(AF2="","",IF(AF2&gt;=$C$1,"",AF2+1))</f>
        <v/>
      </c>
      <c r="AI2" s="94">
        <f>IF(AH2="","",TEXT(AH2,"ddd"))</f>
        <v/>
      </c>
      <c r="AJ2" s="349">
        <f>IF(AH2="","",IF(AH2&gt;=$C$1,"",AH2+1))</f>
        <v/>
      </c>
      <c r="AK2" s="96">
        <f>IF(AJ2="","",TEXT(AJ2,"ddd"))</f>
        <v/>
      </c>
      <c r="AL2" s="349">
        <f>IF(AJ2="","",IF(AJ2&gt;=$C$1,"",AJ2+1))</f>
        <v/>
      </c>
      <c r="AM2" s="94">
        <f>IF(AL2="","",TEXT(AL2,"ddd"))</f>
        <v/>
      </c>
      <c r="AN2" s="349">
        <f>IF(AL2="","",IF(AL2&gt;=$C$1,"",AL2+1))</f>
        <v/>
      </c>
      <c r="AO2" s="94">
        <f>IF(AN2="","",TEXT(AN2,"ddd"))</f>
        <v/>
      </c>
      <c r="AP2" s="349">
        <f>IF(AN2="","",IF(AN2&gt;=$C$1,"",AN2+1))</f>
        <v/>
      </c>
      <c r="AQ2" s="94">
        <f>IF(AP2="","",TEXT(AP2,"ddd"))</f>
        <v/>
      </c>
      <c r="AR2" s="349">
        <f>IF(AP2="","",IF(AP2&gt;=$C$1,"",AP2+1))</f>
        <v/>
      </c>
      <c r="AS2" s="94">
        <f>IF(AR2="","",TEXT(AR2,"ddd"))</f>
        <v/>
      </c>
      <c r="AT2" s="349">
        <f>IF(AR2="","",IF(AR2&gt;=$C$1,"",AR2+1))</f>
        <v/>
      </c>
      <c r="AU2" s="94">
        <f>IF(AT2="","",TEXT(AT2,"ddd"))</f>
        <v/>
      </c>
      <c r="AV2" s="349">
        <f>IF(AT2="","",IF(AT2&gt;=$C$1,"",AT2+1))</f>
        <v/>
      </c>
      <c r="AW2" s="94">
        <f>IF(AV2="","",TEXT(AV2,"ddd"))</f>
        <v/>
      </c>
      <c r="AX2" s="349">
        <f>IF(AV2="","",IF(AV2&gt;=$C$1,"",AV2+1))</f>
        <v/>
      </c>
      <c r="AY2" s="96">
        <f>IF(AX2="","",TEXT(AX2,"ddd"))</f>
        <v/>
      </c>
      <c r="AZ2" s="349">
        <f>IF(AX2="","",IF(AX2&gt;=$C$1,"",AX2+1))</f>
        <v/>
      </c>
      <c r="BA2" s="94">
        <f>IF(AZ2="","",TEXT(AZ2,"ddd"))</f>
        <v/>
      </c>
      <c r="BB2" s="349">
        <f>IF(AZ2="","",IF(AZ2&gt;=$C$1,"",AZ2+1))</f>
        <v/>
      </c>
      <c r="BC2" s="94">
        <f>IF(BB2="","",TEXT(BB2,"ddd"))</f>
        <v/>
      </c>
      <c r="BD2" s="349">
        <f>IF(BB2="","",IF(BB2&gt;=$C$1,"",BB2+1))</f>
        <v/>
      </c>
      <c r="BE2" s="94">
        <f>IF(BD2="","",TEXT(BD2,"ddd"))</f>
        <v/>
      </c>
      <c r="BF2" s="349">
        <f>IF(BD2="","",IF(BD2&gt;=$C$1,"",BD2+1))</f>
        <v/>
      </c>
      <c r="BG2" s="94">
        <f>IF(BF2="","",TEXT(BF2,"ddd"))</f>
        <v/>
      </c>
      <c r="BH2" s="349">
        <f>IF(BF2="","",IF(BF2&gt;=$C$1,"",BF2+1))</f>
        <v/>
      </c>
      <c r="BI2" s="94">
        <f>IF(BH2="","",TEXT(BH2,"ddd"))</f>
        <v/>
      </c>
      <c r="BJ2" s="349">
        <f>IF(BH2="","",IF(BH2&gt;=$C$1,"",BH2+1))</f>
        <v/>
      </c>
      <c r="BK2" s="94">
        <f>IF(BJ2="","",TEXT(BJ2,"ddd"))</f>
        <v/>
      </c>
      <c r="BL2" s="349">
        <f>IF(BJ2="","",IF(BJ2&gt;=$C$1,"",BJ2+1))</f>
        <v/>
      </c>
      <c r="BM2" s="96">
        <f>IF(BL2="","",TEXT(BL2,"ddd"))</f>
        <v/>
      </c>
      <c r="BN2" s="349">
        <f>IF(BL2="","",IF(BL2&gt;=$C$1,"",BL2+1))</f>
        <v/>
      </c>
      <c r="BO2" s="94">
        <f>IF(BN2="","",TEXT(BN2,"ddd"))</f>
        <v/>
      </c>
      <c r="BP2" s="349">
        <f>IF(BN2="","",IF(BN2&gt;=$C$1,"",BN2+1))</f>
        <v/>
      </c>
      <c r="BQ2" s="97">
        <f>IF(BP2="","",TEXT(BP2,"ddd"))</f>
        <v/>
      </c>
      <c r="BR2" s="350">
        <f>IF(BP2="","",IF(BP2&gt;=$C$1,"",BP2+1))</f>
        <v/>
      </c>
      <c r="BS2" s="96">
        <f>IF(BR2="","",TEXT(BR2,"ddd"))</f>
        <v/>
      </c>
    </row>
    <row r="3" ht="17.25" customHeight="1" s="304" thickBot="1">
      <c r="B3" s="91" t="n"/>
      <c r="C3" s="89" t="n"/>
      <c r="D3" s="99" t="n"/>
      <c r="E3" s="91" t="n"/>
      <c r="F3" s="89" t="n"/>
      <c r="I3" s="100" t="inlineStr">
        <is>
          <t>Holiday</t>
        </is>
      </c>
      <c r="J3" s="351">
        <f>IF(ISNA(VLOOKUP(J$2,Holidays!$B$5:$C$33,2,FALSE)),"",VLOOKUP(J$2,Holidays!$B$5:$C$33,2,FALSE))</f>
        <v/>
      </c>
      <c r="K3" s="314" t="n"/>
      <c r="L3" s="352">
        <f>IF(ISNA(VLOOKUP(L$2,Holidays!$B$5:$C$33,2,FALSE)),"",VLOOKUP(L$2,Holidays!$B$5:$C$33,2,FALSE))</f>
        <v/>
      </c>
      <c r="M3" s="314" t="n"/>
      <c r="N3" s="352">
        <f>IF(ISNA(VLOOKUP(N$2,Holidays!$B$5:$C$33,2,FALSE)),"",VLOOKUP(N$2,Holidays!$B$5:$C$33,2,FALSE))</f>
        <v/>
      </c>
      <c r="O3" s="314" t="n"/>
      <c r="P3" s="352">
        <f>IF(ISNA(VLOOKUP(P$2,Holidays!$B$5:$C$33,2,FALSE)),"",VLOOKUP(P$2,Holidays!$B$5:$C$33,2,FALSE))</f>
        <v/>
      </c>
      <c r="Q3" s="314" t="n"/>
      <c r="R3" s="352">
        <f>IF(ISNA(VLOOKUP(R$2,Holidays!$B$5:$C$33,2,FALSE)),"",VLOOKUP(R$2,Holidays!$B$5:$C$33,2,FALSE))</f>
        <v/>
      </c>
      <c r="S3" s="314" t="n"/>
      <c r="T3" s="352">
        <f>IF(ISNA(VLOOKUP(T$2,Holidays!$B$5:$C$33,2,FALSE)),"",VLOOKUP(T$2,Holidays!$B$5:$C$33,2,FALSE))</f>
        <v/>
      </c>
      <c r="U3" s="314" t="n"/>
      <c r="V3" s="352">
        <f>IF(ISNA(VLOOKUP(V$2,Holidays!$B$5:$C$33,2,FALSE)),"",VLOOKUP(V$2,Holidays!$B$5:$C$33,2,FALSE))</f>
        <v/>
      </c>
      <c r="W3" s="314" t="n"/>
      <c r="X3" s="352">
        <f>IF(ISNA(VLOOKUP(X$2,Holidays!$B$5:$C$33,2,FALSE)),"",VLOOKUP(X$2,Holidays!$B$5:$C$33,2,FALSE))</f>
        <v/>
      </c>
      <c r="Y3" s="314" t="n"/>
      <c r="Z3" s="352">
        <f>IF(ISNA(VLOOKUP(Z$2,Holidays!$B$5:$C$33,2,FALSE)),"",VLOOKUP(Z$2,Holidays!$B$5:$C$33,2,FALSE))</f>
        <v/>
      </c>
      <c r="AA3" s="314" t="n"/>
      <c r="AB3" s="352">
        <f>IF(ISNA(VLOOKUP(AB$2,Holidays!$B$5:$C$33,2,FALSE)),"",VLOOKUP(AB$2,Holidays!$B$5:$C$33,2,FALSE))</f>
        <v/>
      </c>
      <c r="AC3" s="314" t="n"/>
      <c r="AD3" s="352">
        <f>IF(ISNA(VLOOKUP(AD$2,Holidays!$B$5:$C$33,2,FALSE)),"",VLOOKUP(AD$2,Holidays!$B$5:$C$33,2,FALSE))</f>
        <v/>
      </c>
      <c r="AE3" s="314" t="n"/>
      <c r="AF3" s="352">
        <f>IF(ISNA(VLOOKUP(AF$2,Holidays!$B$5:$C$33,2,FALSE)),"",VLOOKUP(AF$2,Holidays!$B$5:$C$33,2,FALSE))</f>
        <v/>
      </c>
      <c r="AG3" s="314" t="n"/>
      <c r="AH3" s="352">
        <f>IF(ISNA(VLOOKUP(AH$2,Holidays!$B$5:$C$33,2,FALSE)),"",VLOOKUP(AH$2,Holidays!$B$5:$C$33,2,FALSE))</f>
        <v/>
      </c>
      <c r="AI3" s="314" t="n"/>
      <c r="AJ3" s="352">
        <f>IF(ISNA(VLOOKUP(AJ$2,Holidays!$B$5:$C$33,2,FALSE)),"",VLOOKUP(AJ$2,Holidays!$B$5:$C$33,2,FALSE))</f>
        <v/>
      </c>
      <c r="AK3" s="314" t="n"/>
      <c r="AL3" s="352">
        <f>IF(ISNA(VLOOKUP(AL$2,Holidays!$B$5:$C$33,2,FALSE)),"",VLOOKUP(AL$2,Holidays!$B$5:$C$33,2,FALSE))</f>
        <v/>
      </c>
      <c r="AM3" s="314" t="n"/>
      <c r="AN3" s="352">
        <f>IF(ISNA(VLOOKUP(AN$2,Holidays!$B$5:$C$33,2,FALSE)),"",VLOOKUP(AN$2,Holidays!$B$5:$C$33,2,FALSE))</f>
        <v/>
      </c>
      <c r="AO3" s="314" t="n"/>
      <c r="AP3" s="352">
        <f>IF(ISNA(VLOOKUP(AP$2,Holidays!$B$5:$C$33,2,FALSE)),"",VLOOKUP(AP$2,Holidays!$B$5:$C$33,2,FALSE))</f>
        <v/>
      </c>
      <c r="AQ3" s="314" t="n"/>
      <c r="AR3" s="352">
        <f>IF(ISNA(VLOOKUP(AR$2,Holidays!$B$5:$C$33,2,FALSE)),"",VLOOKUP(AR$2,Holidays!$B$5:$C$33,2,FALSE))</f>
        <v/>
      </c>
      <c r="AS3" s="314" t="n"/>
      <c r="AT3" s="352">
        <f>IF(ISNA(VLOOKUP(AT$2,Holidays!$B$5:$C$33,2,FALSE)),"",VLOOKUP(AT$2,Holidays!$B$5:$C$33,2,FALSE))</f>
        <v/>
      </c>
      <c r="AU3" s="314" t="n"/>
      <c r="AV3" s="352">
        <f>IF(ISNA(VLOOKUP(AV$2,Holidays!$B$5:$C$33,2,FALSE)),"",VLOOKUP(AV$2,Holidays!$B$5:$C$33,2,FALSE))</f>
        <v/>
      </c>
      <c r="AW3" s="314" t="n"/>
      <c r="AX3" s="352">
        <f>IF(ISNA(VLOOKUP(AX$2,Holidays!$B$5:$C$33,2,FALSE)),"",VLOOKUP(AX$2,Holidays!$B$5:$C$33,2,FALSE))</f>
        <v/>
      </c>
      <c r="AY3" s="314" t="n"/>
      <c r="AZ3" s="352">
        <f>IF(ISNA(VLOOKUP(AZ$2,Holidays!$B$5:$C$33,2,FALSE)),"",VLOOKUP(AZ$2,Holidays!$B$5:$C$33,2,FALSE))</f>
        <v/>
      </c>
      <c r="BA3" s="314" t="n"/>
      <c r="BB3" s="352">
        <f>IF(ISNA(VLOOKUP(BB$2,Holidays!$B$5:$C$33,2,FALSE)),"",VLOOKUP(BB$2,Holidays!$B$5:$C$33,2,FALSE))</f>
        <v/>
      </c>
      <c r="BC3" s="314" t="n"/>
      <c r="BD3" s="352">
        <f>IF(ISNA(VLOOKUP(BD$2,Holidays!$B$5:$C$33,2,FALSE)),"",VLOOKUP(BD$2,Holidays!$B$5:$C$33,2,FALSE))</f>
        <v/>
      </c>
      <c r="BE3" s="314" t="n"/>
      <c r="BF3" s="352">
        <f>IF(ISNA(VLOOKUP(BF$2,Holidays!$B$5:$C$33,2,FALSE)),"",VLOOKUP(BF$2,Holidays!$B$5:$C$33,2,FALSE))</f>
        <v/>
      </c>
      <c r="BG3" s="314" t="n"/>
      <c r="BH3" s="352">
        <f>IF(ISNA(VLOOKUP(BH$2,Holidays!$B$5:$C$33,2,FALSE)),"",VLOOKUP(BH$2,Holidays!$B$5:$C$33,2,FALSE))</f>
        <v/>
      </c>
      <c r="BI3" s="314" t="n"/>
      <c r="BJ3" s="352">
        <f>IF(ISNA(VLOOKUP(BJ$2,Holidays!$B$5:$C$33,2,FALSE)),"",VLOOKUP(BJ$2,Holidays!$B$5:$C$33,2,FALSE))</f>
        <v/>
      </c>
      <c r="BK3" s="314" t="n"/>
      <c r="BL3" s="352">
        <f>IF(ISNA(VLOOKUP(BL$2,Holidays!$B$5:$C$33,2,FALSE)),"",VLOOKUP(BL$2,Holidays!$B$5:$C$33,2,FALSE))</f>
        <v/>
      </c>
      <c r="BM3" s="314" t="n"/>
      <c r="BN3" s="352">
        <f>IF(ISNA(VLOOKUP(BN$2,Holidays!$B$5:$C$33,2,FALSE)),"",VLOOKUP(BN$2,Holidays!$B$5:$C$33,2,FALSE))</f>
        <v/>
      </c>
      <c r="BO3" s="314" t="n"/>
      <c r="BP3" s="352">
        <f>IF(ISNA(VLOOKUP(BP$2,Holidays!$B$5:$C$33,2,FALSE)),"",VLOOKUP(BP$2,Holidays!$B$5:$C$33,2,FALSE))</f>
        <v/>
      </c>
      <c r="BQ3" s="314" t="n"/>
      <c r="BR3" s="352">
        <f>IF(ISNA(VLOOKUP(BR$2,Holidays!$B$5:$C$33,2,FALSE)),"",VLOOKUP(BR$2,Holidays!$B$5:$C$33,2,FALSE))</f>
        <v/>
      </c>
      <c r="BS3" s="314" t="n"/>
    </row>
    <row r="4" ht="17.25" customHeight="1" s="304" thickBot="1">
      <c r="B4" s="91" t="n"/>
      <c r="C4" s="89" t="n"/>
      <c r="D4" s="99" t="n"/>
      <c r="E4" s="91" t="n"/>
      <c r="F4" s="101" t="inlineStr">
        <is>
          <t>Back to Annual Summary</t>
        </is>
      </c>
      <c r="I4" s="102" t="inlineStr">
        <is>
          <t>Anniversary</t>
        </is>
      </c>
      <c r="J4" s="353">
        <f>IF(ISNA(VLOOKUP(J$2,Holidays!$F$5:$G$33,2,FALSE)),"",VLOOKUP(J$2,Holidays!$F$5:$G$33,2,FALSE))</f>
        <v/>
      </c>
      <c r="K4" s="316" t="n"/>
      <c r="L4" s="354">
        <f>IF(ISNA(VLOOKUP(L$2,Holidays!$F$5:$G$33,2,FALSE)),"",VLOOKUP(L$2,Holidays!$F$5:$G$33,2,FALSE))</f>
        <v/>
      </c>
      <c r="M4" s="316" t="n"/>
      <c r="N4" s="354">
        <f>IF(ISNA(VLOOKUP(N$2,Holidays!$F$5:$G$33,2,FALSE)),"",VLOOKUP(N$2,Holidays!$F$5:$G$33,2,FALSE))</f>
        <v/>
      </c>
      <c r="O4" s="316" t="n"/>
      <c r="P4" s="354">
        <f>IF(ISNA(VLOOKUP(P$2,Holidays!$F$5:$G$33,2,FALSE)),"",VLOOKUP(P$2,Holidays!$F$5:$G$33,2,FALSE))</f>
        <v/>
      </c>
      <c r="Q4" s="316" t="n"/>
      <c r="R4" s="354">
        <f>IF(ISNA(VLOOKUP(R$2,Holidays!$F$5:$G$33,2,FALSE)),"",VLOOKUP(R$2,Holidays!$F$5:$G$33,2,FALSE))</f>
        <v/>
      </c>
      <c r="S4" s="316" t="n"/>
      <c r="T4" s="354">
        <f>IF(ISNA(VLOOKUP(T$2,Holidays!$F$5:$G$33,2,FALSE)),"",VLOOKUP(T$2,Holidays!$F$5:$G$33,2,FALSE))</f>
        <v/>
      </c>
      <c r="U4" s="316" t="n"/>
      <c r="V4" s="354">
        <f>IF(ISNA(VLOOKUP(V$2,Holidays!$F$5:$G$33,2,FALSE)),"",VLOOKUP(V$2,Holidays!$F$5:$G$33,2,FALSE))</f>
        <v/>
      </c>
      <c r="W4" s="316" t="n"/>
      <c r="X4" s="354">
        <f>IF(ISNA(VLOOKUP(X$2,Holidays!$F$5:$G$33,2,FALSE)),"",VLOOKUP(X$2,Holidays!$F$5:$G$33,2,FALSE))</f>
        <v/>
      </c>
      <c r="Y4" s="316" t="n"/>
      <c r="Z4" s="354">
        <f>IF(ISNA(VLOOKUP(Z$2,Holidays!$F$5:$G$33,2,FALSE)),"",VLOOKUP(Z$2,Holidays!$F$5:$G$33,2,FALSE))</f>
        <v/>
      </c>
      <c r="AA4" s="316" t="n"/>
      <c r="AB4" s="354">
        <f>IF(ISNA(VLOOKUP(AB$2,Holidays!$F$5:$G$33,2,FALSE)),"",VLOOKUP(AB$2,Holidays!$F$5:$G$33,2,FALSE))</f>
        <v/>
      </c>
      <c r="AC4" s="316" t="n"/>
      <c r="AD4" s="354">
        <f>IF(ISNA(VLOOKUP(AD$2,Holidays!$F$5:$G$33,2,FALSE)),"",VLOOKUP(AD$2,Holidays!$F$5:$G$33,2,FALSE))</f>
        <v/>
      </c>
      <c r="AE4" s="316" t="n"/>
      <c r="AF4" s="354">
        <f>IF(ISNA(VLOOKUP(AF$2,Holidays!$F$5:$G$33,2,FALSE)),"",VLOOKUP(AF$2,Holidays!$F$5:$G$33,2,FALSE))</f>
        <v/>
      </c>
      <c r="AG4" s="316" t="n"/>
      <c r="AH4" s="354">
        <f>IF(ISNA(VLOOKUP(AH$2,Holidays!$F$5:$G$33,2,FALSE)),"",VLOOKUP(AH$2,Holidays!$F$5:$G$33,2,FALSE))</f>
        <v/>
      </c>
      <c r="AI4" s="316" t="n"/>
      <c r="AJ4" s="354">
        <f>IF(ISNA(VLOOKUP(AJ$2,Holidays!$F$5:$G$33,2,FALSE)),"",VLOOKUP(AJ$2,Holidays!$F$5:$G$33,2,FALSE))</f>
        <v/>
      </c>
      <c r="AK4" s="316" t="n"/>
      <c r="AL4" s="354">
        <f>IF(ISNA(VLOOKUP(AL$2,Holidays!$F$5:$G$33,2,FALSE)),"",VLOOKUP(AL$2,Holidays!$F$5:$G$33,2,FALSE))</f>
        <v/>
      </c>
      <c r="AM4" s="316" t="n"/>
      <c r="AN4" s="354">
        <f>IF(ISNA(VLOOKUP(AN$2,Holidays!$F$5:$G$33,2,FALSE)),"",VLOOKUP(AN$2,Holidays!$F$5:$G$33,2,FALSE))</f>
        <v/>
      </c>
      <c r="AO4" s="316" t="n"/>
      <c r="AP4" s="354">
        <f>IF(ISNA(VLOOKUP(AP$2,Holidays!$F$5:$G$33,2,FALSE)),"",VLOOKUP(AP$2,Holidays!$F$5:$G$33,2,FALSE))</f>
        <v/>
      </c>
      <c r="AQ4" s="316" t="n"/>
      <c r="AR4" s="354">
        <f>IF(ISNA(VLOOKUP(AR$2,Holidays!$F$5:$G$33,2,FALSE)),"",VLOOKUP(AR$2,Holidays!$F$5:$G$33,2,FALSE))</f>
        <v/>
      </c>
      <c r="AS4" s="316" t="n"/>
      <c r="AT4" s="354">
        <f>IF(ISNA(VLOOKUP(AT$2,Holidays!$F$5:$G$33,2,FALSE)),"",VLOOKUP(AT$2,Holidays!$F$5:$G$33,2,FALSE))</f>
        <v/>
      </c>
      <c r="AU4" s="316" t="n"/>
      <c r="AV4" s="354">
        <f>IF(ISNA(VLOOKUP(AV$2,Holidays!$F$5:$G$33,2,FALSE)),"",VLOOKUP(AV$2,Holidays!$F$5:$G$33,2,FALSE))</f>
        <v/>
      </c>
      <c r="AW4" s="316" t="n"/>
      <c r="AX4" s="354">
        <f>IF(ISNA(VLOOKUP(AX$2,Holidays!$F$5:$G$33,2,FALSE)),"",VLOOKUP(AX$2,Holidays!$F$5:$G$33,2,FALSE))</f>
        <v/>
      </c>
      <c r="AY4" s="316" t="n"/>
      <c r="AZ4" s="354">
        <f>IF(ISNA(VLOOKUP(AZ$2,Holidays!$F$5:$G$33,2,FALSE)),"",VLOOKUP(AZ$2,Holidays!$F$5:$G$33,2,FALSE))</f>
        <v/>
      </c>
      <c r="BA4" s="316" t="n"/>
      <c r="BB4" s="354">
        <f>IF(ISNA(VLOOKUP(BB$2,Holidays!$F$5:$G$33,2,FALSE)),"",VLOOKUP(BB$2,Holidays!$F$5:$G$33,2,FALSE))</f>
        <v/>
      </c>
      <c r="BC4" s="316" t="n"/>
      <c r="BD4" s="354">
        <f>IF(ISNA(VLOOKUP(BD$2,Holidays!$F$5:$G$33,2,FALSE)),"",VLOOKUP(BD$2,Holidays!$F$5:$G$33,2,FALSE))</f>
        <v/>
      </c>
      <c r="BE4" s="316" t="n"/>
      <c r="BF4" s="354">
        <f>IF(ISNA(VLOOKUP(BF$2,Holidays!$F$5:$G$33,2,FALSE)),"",VLOOKUP(BF$2,Holidays!$F$5:$G$33,2,FALSE))</f>
        <v/>
      </c>
      <c r="BG4" s="316" t="n"/>
      <c r="BH4" s="354">
        <f>IF(ISNA(VLOOKUP(BH$2,Holidays!$F$5:$G$33,2,FALSE)),"",VLOOKUP(BH$2,Holidays!$F$5:$G$33,2,FALSE))</f>
        <v/>
      </c>
      <c r="BI4" s="316" t="n"/>
      <c r="BJ4" s="354">
        <f>IF(ISNA(VLOOKUP(BJ$2,Holidays!$F$5:$G$33,2,FALSE)),"",VLOOKUP(BJ$2,Holidays!$F$5:$G$33,2,FALSE))</f>
        <v/>
      </c>
      <c r="BK4" s="316" t="n"/>
      <c r="BL4" s="354">
        <f>IF(ISNA(VLOOKUP(BL$2,Holidays!$F$5:$G$33,2,FALSE)),"",VLOOKUP(BL$2,Holidays!$F$5:$G$33,2,FALSE))</f>
        <v/>
      </c>
      <c r="BM4" s="316" t="n"/>
      <c r="BN4" s="354">
        <f>IF(ISNA(VLOOKUP(BN$2,Holidays!$F$5:$G$33,2,FALSE)),"",VLOOKUP(BN$2,Holidays!$F$5:$G$33,2,FALSE))</f>
        <v/>
      </c>
      <c r="BO4" s="316" t="n"/>
      <c r="BP4" s="354">
        <f>IF(ISNA(VLOOKUP(BP$2,Holidays!$F$5:$G$33,2,FALSE)),"",VLOOKUP(BP$2,Holidays!$F$5:$G$33,2,FALSE))</f>
        <v/>
      </c>
      <c r="BQ4" s="316" t="n"/>
      <c r="BR4" s="354">
        <f>IF(ISNA(VLOOKUP(BR$2,Holidays!$F$5:$G$33,2,FALSE)),"",VLOOKUP(BR$2,Holidays!$F$5:$G$33,2,FALSE))</f>
        <v/>
      </c>
      <c r="BS4" s="316" t="n"/>
    </row>
    <row r="5" ht="14" customHeight="1" s="304">
      <c r="I5" s="103" t="n"/>
      <c r="J5" s="104" t="inlineStr">
        <is>
          <t>Item</t>
        </is>
      </c>
      <c r="K5" s="105" t="inlineStr">
        <is>
          <t>Amount</t>
        </is>
      </c>
      <c r="L5" s="106" t="inlineStr">
        <is>
          <t>Item</t>
        </is>
      </c>
      <c r="M5" s="105" t="inlineStr">
        <is>
          <t>Amount</t>
        </is>
      </c>
      <c r="N5" s="106" t="inlineStr">
        <is>
          <t>Item</t>
        </is>
      </c>
      <c r="O5" s="105" t="inlineStr">
        <is>
          <t>Amount</t>
        </is>
      </c>
      <c r="P5" s="106" t="inlineStr">
        <is>
          <t>Item</t>
        </is>
      </c>
      <c r="Q5" s="105" t="inlineStr">
        <is>
          <t>Amount</t>
        </is>
      </c>
      <c r="R5" s="106" t="inlineStr">
        <is>
          <t>Item</t>
        </is>
      </c>
      <c r="S5" s="105" t="inlineStr">
        <is>
          <t>Amount</t>
        </is>
      </c>
      <c r="T5" s="106" t="inlineStr">
        <is>
          <t>Item</t>
        </is>
      </c>
      <c r="U5" s="105" t="inlineStr">
        <is>
          <t>Amount</t>
        </is>
      </c>
      <c r="V5" s="106" t="inlineStr">
        <is>
          <t>Item</t>
        </is>
      </c>
      <c r="W5" s="105" t="inlineStr">
        <is>
          <t>Amount</t>
        </is>
      </c>
      <c r="X5" s="106" t="inlineStr">
        <is>
          <t>Item</t>
        </is>
      </c>
      <c r="Y5" s="105" t="inlineStr">
        <is>
          <t>Amount</t>
        </is>
      </c>
      <c r="Z5" s="106" t="inlineStr">
        <is>
          <t>Item</t>
        </is>
      </c>
      <c r="AA5" s="105" t="inlineStr">
        <is>
          <t>Amount</t>
        </is>
      </c>
      <c r="AB5" s="106" t="inlineStr">
        <is>
          <t>Item</t>
        </is>
      </c>
      <c r="AC5" s="105" t="inlineStr">
        <is>
          <t>Amount</t>
        </is>
      </c>
      <c r="AD5" s="106" t="inlineStr">
        <is>
          <t>Item</t>
        </is>
      </c>
      <c r="AE5" s="105" t="inlineStr">
        <is>
          <t>Amount</t>
        </is>
      </c>
      <c r="AF5" s="106" t="inlineStr">
        <is>
          <t>Item</t>
        </is>
      </c>
      <c r="AG5" s="105" t="inlineStr">
        <is>
          <t>Amount</t>
        </is>
      </c>
      <c r="AH5" s="106" t="inlineStr">
        <is>
          <t>Item</t>
        </is>
      </c>
      <c r="AI5" s="105" t="inlineStr">
        <is>
          <t>Amount</t>
        </is>
      </c>
      <c r="AJ5" s="106" t="inlineStr">
        <is>
          <t>Item</t>
        </is>
      </c>
      <c r="AK5" s="105" t="inlineStr">
        <is>
          <t>Amount</t>
        </is>
      </c>
      <c r="AL5" s="106" t="inlineStr">
        <is>
          <t>Item</t>
        </is>
      </c>
      <c r="AM5" s="105" t="inlineStr">
        <is>
          <t>Amount</t>
        </is>
      </c>
      <c r="AN5" s="106" t="inlineStr">
        <is>
          <t>Item</t>
        </is>
      </c>
      <c r="AO5" s="105" t="inlineStr">
        <is>
          <t>Amount</t>
        </is>
      </c>
      <c r="AP5" s="106" t="inlineStr">
        <is>
          <t>Item</t>
        </is>
      </c>
      <c r="AQ5" s="105" t="inlineStr">
        <is>
          <t>Amount</t>
        </is>
      </c>
      <c r="AR5" s="106" t="inlineStr">
        <is>
          <t>Item</t>
        </is>
      </c>
      <c r="AS5" s="105" t="inlineStr">
        <is>
          <t>Amount</t>
        </is>
      </c>
      <c r="AT5" s="106" t="inlineStr">
        <is>
          <t>Item</t>
        </is>
      </c>
      <c r="AU5" s="105" t="inlineStr">
        <is>
          <t>Amount</t>
        </is>
      </c>
      <c r="AV5" s="106" t="inlineStr">
        <is>
          <t>Item</t>
        </is>
      </c>
      <c r="AW5" s="105" t="inlineStr">
        <is>
          <t>Amount</t>
        </is>
      </c>
      <c r="AX5" s="106" t="inlineStr">
        <is>
          <t>Item</t>
        </is>
      </c>
      <c r="AY5" s="105" t="inlineStr">
        <is>
          <t>Amount</t>
        </is>
      </c>
      <c r="AZ5" s="106" t="inlineStr">
        <is>
          <t>Item</t>
        </is>
      </c>
      <c r="BA5" s="105" t="inlineStr">
        <is>
          <t>Amount</t>
        </is>
      </c>
      <c r="BB5" s="106" t="inlineStr">
        <is>
          <t>Item</t>
        </is>
      </c>
      <c r="BC5" s="105" t="inlineStr">
        <is>
          <t>Amount</t>
        </is>
      </c>
      <c r="BD5" s="106" t="inlineStr">
        <is>
          <t>Item</t>
        </is>
      </c>
      <c r="BE5" s="105" t="inlineStr">
        <is>
          <t>Amount</t>
        </is>
      </c>
      <c r="BF5" s="106" t="inlineStr">
        <is>
          <t>Item</t>
        </is>
      </c>
      <c r="BG5" s="105" t="inlineStr">
        <is>
          <t>Amount</t>
        </is>
      </c>
      <c r="BH5" s="106" t="inlineStr">
        <is>
          <t>Item</t>
        </is>
      </c>
      <c r="BI5" s="105" t="inlineStr">
        <is>
          <t>Amount</t>
        </is>
      </c>
      <c r="BJ5" s="106" t="inlineStr">
        <is>
          <t>Item</t>
        </is>
      </c>
      <c r="BK5" s="105" t="inlineStr">
        <is>
          <t>Amount</t>
        </is>
      </c>
      <c r="BL5" s="106" t="inlineStr">
        <is>
          <t>Item</t>
        </is>
      </c>
      <c r="BM5" s="105" t="inlineStr">
        <is>
          <t>Amount</t>
        </is>
      </c>
      <c r="BN5" s="106" t="inlineStr">
        <is>
          <t>Item</t>
        </is>
      </c>
      <c r="BO5" s="105" t="inlineStr">
        <is>
          <t>Amount</t>
        </is>
      </c>
      <c r="BP5" s="106" t="inlineStr">
        <is>
          <t>Item</t>
        </is>
      </c>
      <c r="BQ5" s="105" t="inlineStr">
        <is>
          <t>Amount</t>
        </is>
      </c>
      <c r="BR5" s="106" t="inlineStr">
        <is>
          <t>Item</t>
        </is>
      </c>
      <c r="BS5" s="107" t="inlineStr">
        <is>
          <t>Amount</t>
        </is>
      </c>
    </row>
    <row r="6" ht="17.25" customHeight="1" s="304" thickBot="1">
      <c r="B6" s="108" t="inlineStr">
        <is>
          <t>Income This Month</t>
        </is>
      </c>
      <c r="F6" s="108" t="inlineStr">
        <is>
          <t>Living Expenses This Month</t>
        </is>
      </c>
      <c r="I6" s="317" t="inlineStr">
        <is>
          <t>Meals</t>
        </is>
      </c>
      <c r="J6" s="5" t="n"/>
      <c r="K6" s="6" t="n"/>
      <c r="L6" s="7" t="n"/>
      <c r="M6" s="6" t="n"/>
      <c r="N6" s="7" t="n"/>
      <c r="O6" s="6" t="n"/>
      <c r="P6" s="7" t="n"/>
      <c r="Q6" s="6" t="n"/>
      <c r="R6" s="7" t="n"/>
      <c r="S6" s="6" t="n"/>
      <c r="T6" s="7" t="n"/>
      <c r="U6" s="6" t="n"/>
      <c r="V6" s="7" t="n"/>
      <c r="W6" s="6" t="n"/>
      <c r="X6" s="7" t="n"/>
      <c r="Y6" s="6" t="n"/>
      <c r="Z6" s="7" t="n"/>
      <c r="AA6" s="6" t="n"/>
      <c r="AB6" s="7" t="n"/>
      <c r="AC6" s="6" t="n"/>
      <c r="AD6" s="7" t="n"/>
      <c r="AE6" s="6" t="n"/>
      <c r="AF6" s="7" t="n"/>
      <c r="AG6" s="6" t="n"/>
      <c r="AH6" s="7" t="n"/>
      <c r="AI6" s="6" t="n"/>
      <c r="AJ6" s="7" t="n"/>
      <c r="AK6" s="6" t="n"/>
      <c r="AL6" s="7" t="n"/>
      <c r="AM6" s="6" t="n"/>
      <c r="AN6" s="7" t="n"/>
      <c r="AO6" s="6" t="n"/>
      <c r="AP6" s="7" t="n"/>
      <c r="AQ6" s="6" t="n"/>
      <c r="AR6" s="7" t="n"/>
      <c r="AS6" s="6" t="n"/>
      <c r="AT6" s="7" t="n"/>
      <c r="AU6" s="6" t="n"/>
      <c r="AV6" s="7" t="n"/>
      <c r="AW6" s="6" t="n"/>
      <c r="AX6" s="7" t="n"/>
      <c r="AY6" s="6" t="n"/>
      <c r="AZ6" s="7" t="n"/>
      <c r="BA6" s="6" t="n"/>
      <c r="BB6" s="7" t="n"/>
      <c r="BC6" s="6" t="n"/>
      <c r="BD6" s="7" t="n"/>
      <c r="BE6" s="6" t="n"/>
      <c r="BF6" s="7" t="n"/>
      <c r="BG6" s="6" t="n"/>
      <c r="BH6" s="7" t="n"/>
      <c r="BI6" s="6" t="n"/>
      <c r="BJ6" s="7" t="n"/>
      <c r="BK6" s="6" t="n"/>
      <c r="BL6" s="7" t="n"/>
      <c r="BM6" s="6" t="n"/>
      <c r="BN6" s="7" t="n"/>
      <c r="BO6" s="6" t="n"/>
      <c r="BP6" s="7" t="n"/>
      <c r="BQ6" s="6" t="n"/>
      <c r="BR6" s="7" t="n"/>
      <c r="BS6" s="8" t="n"/>
    </row>
    <row r="7" ht="17.25" customHeight="1" s="304">
      <c r="B7" s="109" t="inlineStr">
        <is>
          <t>Item</t>
        </is>
      </c>
      <c r="C7" s="110" t="inlineStr">
        <is>
          <t>Amount</t>
        </is>
      </c>
      <c r="D7" s="111" t="inlineStr">
        <is>
          <t>Date Received</t>
        </is>
      </c>
      <c r="F7" s="112" t="inlineStr">
        <is>
          <t>Item</t>
        </is>
      </c>
      <c r="G7" s="113" t="inlineStr">
        <is>
          <t>Amount Spent</t>
        </is>
      </c>
      <c r="I7" s="318" t="n"/>
      <c r="J7" s="9" t="n"/>
      <c r="K7" s="10" t="n"/>
      <c r="L7" s="11" t="n"/>
      <c r="M7" s="10" t="n"/>
      <c r="N7" s="11" t="n"/>
      <c r="O7" s="10" t="n"/>
      <c r="P7" s="11" t="n"/>
      <c r="Q7" s="10" t="n"/>
      <c r="R7" s="11" t="n"/>
      <c r="S7" s="10" t="n"/>
      <c r="T7" s="11" t="n"/>
      <c r="U7" s="10" t="n"/>
      <c r="V7" s="11" t="n"/>
      <c r="W7" s="10" t="n"/>
      <c r="X7" s="11" t="n"/>
      <c r="Y7" s="10" t="n"/>
      <c r="Z7" s="11" t="n"/>
      <c r="AA7" s="10" t="n"/>
      <c r="AB7" s="11" t="n"/>
      <c r="AC7" s="10" t="n"/>
      <c r="AD7" s="11" t="n"/>
      <c r="AE7" s="10" t="n"/>
      <c r="AF7" s="11" t="n"/>
      <c r="AG7" s="10" t="n"/>
      <c r="AH7" s="11" t="n"/>
      <c r="AI7" s="10" t="n"/>
      <c r="AJ7" s="11" t="n"/>
      <c r="AK7" s="10" t="n"/>
      <c r="AL7" s="11" t="n"/>
      <c r="AM7" s="10" t="n"/>
      <c r="AN7" s="11" t="n"/>
      <c r="AO7" s="10" t="n"/>
      <c r="AP7" s="11" t="n"/>
      <c r="AQ7" s="10" t="n"/>
      <c r="AR7" s="11" t="n"/>
      <c r="AS7" s="10" t="n"/>
      <c r="AT7" s="11" t="n"/>
      <c r="AU7" s="10" t="n"/>
      <c r="AV7" s="11" t="n"/>
      <c r="AW7" s="10" t="n"/>
      <c r="AX7" s="11" t="n"/>
      <c r="AY7" s="10" t="n"/>
      <c r="AZ7" s="11" t="n"/>
      <c r="BA7" s="10" t="n"/>
      <c r="BB7" s="11" t="n"/>
      <c r="BC7" s="10" t="n"/>
      <c r="BD7" s="11" t="n"/>
      <c r="BE7" s="10" t="n"/>
      <c r="BF7" s="11" t="n"/>
      <c r="BG7" s="10" t="n"/>
      <c r="BH7" s="11" t="n"/>
      <c r="BI7" s="10" t="n"/>
      <c r="BJ7" s="11" t="n"/>
      <c r="BK7" s="10" t="n"/>
      <c r="BL7" s="11" t="n"/>
      <c r="BM7" s="10" t="n"/>
      <c r="BN7" s="11" t="n"/>
      <c r="BO7" s="10" t="n"/>
      <c r="BP7" s="11" t="n"/>
      <c r="BQ7" s="10" t="n"/>
      <c r="BR7" s="11" t="n"/>
      <c r="BS7" s="12" t="n"/>
    </row>
    <row r="8" ht="17.25" customFormat="1" customHeight="1" s="4">
      <c r="B8" s="355" t="n"/>
      <c r="C8" s="417" t="n"/>
      <c r="D8" s="356" t="n"/>
      <c r="E8" s="357" t="n"/>
      <c r="F8" s="358" t="inlineStr">
        <is>
          <t>Food (Meals)</t>
        </is>
      </c>
      <c r="G8" s="359">
        <f>SUM(J21:BS21)</f>
        <v/>
      </c>
      <c r="I8" s="318" t="n"/>
      <c r="J8" s="290" t="n"/>
      <c r="K8" s="291" t="n"/>
      <c r="L8" s="292" t="n"/>
      <c r="M8" s="291" t="n"/>
      <c r="N8" s="292" t="n"/>
      <c r="O8" s="291" t="n"/>
      <c r="P8" s="292" t="n"/>
      <c r="Q8" s="291" t="n"/>
      <c r="R8" s="292" t="n"/>
      <c r="S8" s="291" t="n"/>
      <c r="T8" s="292" t="n"/>
      <c r="U8" s="291" t="n"/>
      <c r="V8" s="292" t="n"/>
      <c r="W8" s="291" t="n"/>
      <c r="X8" s="292" t="n"/>
      <c r="Y8" s="291" t="n"/>
      <c r="Z8" s="292" t="n"/>
      <c r="AA8" s="291" t="n"/>
      <c r="AB8" s="292" t="n"/>
      <c r="AC8" s="291" t="n"/>
      <c r="AD8" s="292" t="n"/>
      <c r="AE8" s="291" t="n"/>
      <c r="AF8" s="292" t="n"/>
      <c r="AG8" s="291" t="n"/>
      <c r="AH8" s="292" t="n"/>
      <c r="AI8" s="291" t="n"/>
      <c r="AJ8" s="292" t="n"/>
      <c r="AK8" s="291" t="n"/>
      <c r="AL8" s="292" t="n"/>
      <c r="AM8" s="291" t="n"/>
      <c r="AN8" s="292" t="n"/>
      <c r="AO8" s="291" t="n"/>
      <c r="AP8" s="292" t="n"/>
      <c r="AQ8" s="291" t="n"/>
      <c r="AR8" s="292" t="n"/>
      <c r="AS8" s="291" t="n"/>
      <c r="AT8" s="292" t="n"/>
      <c r="AU8" s="291" t="n"/>
      <c r="AV8" s="292" t="n"/>
      <c r="AW8" s="291" t="n"/>
      <c r="AX8" s="292" t="n"/>
      <c r="AY8" s="291" t="n"/>
      <c r="AZ8" s="292" t="n"/>
      <c r="BA8" s="291" t="n"/>
      <c r="BB8" s="292" t="n"/>
      <c r="BC8" s="291" t="n"/>
      <c r="BD8" s="292" t="n"/>
      <c r="BE8" s="291" t="n"/>
      <c r="BF8" s="292" t="n"/>
      <c r="BG8" s="291" t="n"/>
      <c r="BH8" s="292" t="n"/>
      <c r="BI8" s="291" t="n"/>
      <c r="BJ8" s="292" t="n"/>
      <c r="BK8" s="291" t="n"/>
      <c r="BL8" s="292" t="n"/>
      <c r="BM8" s="291" t="n"/>
      <c r="BN8" s="292" t="n"/>
      <c r="BO8" s="291" t="n"/>
      <c r="BP8" s="292" t="n"/>
      <c r="BQ8" s="291" t="n"/>
      <c r="BR8" s="292" t="n"/>
      <c r="BS8" s="293" t="n"/>
    </row>
    <row r="9" ht="17.25" customFormat="1" customHeight="1" s="4">
      <c r="B9" s="355" t="n"/>
      <c r="C9" s="418" t="n"/>
      <c r="D9" s="360" t="n"/>
      <c r="E9" s="357" t="n"/>
      <c r="F9" s="358" t="inlineStr">
        <is>
          <t>Household Goods Total</t>
        </is>
      </c>
      <c r="G9" s="359">
        <f>SUM(J22:BS27)</f>
        <v/>
      </c>
      <c r="I9" s="318" t="n"/>
      <c r="J9" s="294" t="n"/>
      <c r="K9" s="295" t="n"/>
      <c r="L9" s="296" t="n"/>
      <c r="M9" s="295" t="n"/>
      <c r="N9" s="296" t="n"/>
      <c r="O9" s="295" t="n"/>
      <c r="P9" s="296" t="n"/>
      <c r="Q9" s="295" t="n"/>
      <c r="R9" s="296" t="n"/>
      <c r="S9" s="295" t="n"/>
      <c r="T9" s="296" t="n"/>
      <c r="U9" s="295" t="n"/>
      <c r="V9" s="296" t="n"/>
      <c r="W9" s="295" t="n"/>
      <c r="X9" s="296" t="n"/>
      <c r="Y9" s="295" t="n"/>
      <c r="Z9" s="296" t="n"/>
      <c r="AA9" s="295" t="n"/>
      <c r="AB9" s="296" t="n"/>
      <c r="AC9" s="295" t="n"/>
      <c r="AD9" s="296" t="n"/>
      <c r="AE9" s="295" t="n"/>
      <c r="AF9" s="296" t="n"/>
      <c r="AG9" s="295" t="n"/>
      <c r="AH9" s="296" t="n"/>
      <c r="AI9" s="295" t="n"/>
      <c r="AJ9" s="296" t="n"/>
      <c r="AK9" s="295" t="n"/>
      <c r="AL9" s="296" t="n"/>
      <c r="AM9" s="295" t="n"/>
      <c r="AN9" s="296" t="n"/>
      <c r="AO9" s="295" t="n"/>
      <c r="AP9" s="296" t="n"/>
      <c r="AQ9" s="295" t="n"/>
      <c r="AR9" s="296" t="n"/>
      <c r="AS9" s="295" t="n"/>
      <c r="AT9" s="296" t="n"/>
      <c r="AU9" s="295" t="n"/>
      <c r="AV9" s="296" t="n"/>
      <c r="AW9" s="295" t="n"/>
      <c r="AX9" s="296" t="n"/>
      <c r="AY9" s="295" t="n"/>
      <c r="AZ9" s="296" t="n"/>
      <c r="BA9" s="295" t="n"/>
      <c r="BB9" s="296" t="n"/>
      <c r="BC9" s="295" t="n"/>
      <c r="BD9" s="296" t="n"/>
      <c r="BE9" s="295" t="n"/>
      <c r="BF9" s="296" t="n"/>
      <c r="BG9" s="295" t="n"/>
      <c r="BH9" s="296" t="n"/>
      <c r="BI9" s="295" t="n"/>
      <c r="BJ9" s="296" t="n"/>
      <c r="BK9" s="295" t="n"/>
      <c r="BL9" s="296" t="n"/>
      <c r="BM9" s="295" t="n"/>
      <c r="BN9" s="296" t="n"/>
      <c r="BO9" s="295" t="n"/>
      <c r="BP9" s="296" t="n"/>
      <c r="BQ9" s="295" t="n"/>
      <c r="BR9" s="296" t="n"/>
      <c r="BS9" s="297" t="n"/>
    </row>
    <row r="10" ht="17.25" customFormat="1" customHeight="1" s="4">
      <c r="B10" s="361" t="n"/>
      <c r="C10" s="40" t="n"/>
      <c r="D10" s="360" t="n"/>
      <c r="E10" s="357" t="n"/>
      <c r="F10" s="358" t="inlineStr">
        <is>
          <t>Education &amp; Enrichment</t>
        </is>
      </c>
      <c r="G10" s="359">
        <f>SUM(J28:BS28)</f>
        <v/>
      </c>
      <c r="I10" s="318" t="n"/>
      <c r="J10" s="9" t="n"/>
      <c r="K10" s="10" t="n"/>
      <c r="L10" s="11" t="n"/>
      <c r="M10" s="10" t="n"/>
      <c r="N10" s="11" t="n"/>
      <c r="O10" s="10" t="n"/>
      <c r="P10" s="11" t="n"/>
      <c r="Q10" s="10" t="n"/>
      <c r="R10" s="11" t="n"/>
      <c r="S10" s="10" t="n"/>
      <c r="T10" s="11" t="n"/>
      <c r="U10" s="10" t="n"/>
      <c r="V10" s="11" t="n"/>
      <c r="W10" s="10" t="n"/>
      <c r="X10" s="11" t="n"/>
      <c r="Y10" s="10" t="n"/>
      <c r="Z10" s="11" t="n"/>
      <c r="AA10" s="10" t="n"/>
      <c r="AB10" s="11" t="n"/>
      <c r="AC10" s="10" t="n"/>
      <c r="AD10" s="11" t="n"/>
      <c r="AE10" s="10" t="n"/>
      <c r="AF10" s="11" t="n"/>
      <c r="AG10" s="10" t="n"/>
      <c r="AH10" s="11" t="n"/>
      <c r="AI10" s="10" t="n"/>
      <c r="AJ10" s="11" t="n"/>
      <c r="AK10" s="10" t="n"/>
      <c r="AL10" s="11" t="n"/>
      <c r="AM10" s="10" t="n"/>
      <c r="AN10" s="11" t="n"/>
      <c r="AO10" s="10" t="n"/>
      <c r="AP10" s="11" t="n"/>
      <c r="AQ10" s="10" t="n"/>
      <c r="AR10" s="11" t="n"/>
      <c r="AS10" s="10" t="n"/>
      <c r="AT10" s="11" t="n"/>
      <c r="AU10" s="10" t="n"/>
      <c r="AV10" s="11" t="n"/>
      <c r="AW10" s="10" t="n"/>
      <c r="AX10" s="11" t="n"/>
      <c r="AY10" s="10" t="n"/>
      <c r="AZ10" s="11" t="n"/>
      <c r="BA10" s="10" t="n"/>
      <c r="BB10" s="11" t="n"/>
      <c r="BC10" s="10" t="n"/>
      <c r="BD10" s="11" t="n"/>
      <c r="BE10" s="10" t="n"/>
      <c r="BF10" s="11" t="n"/>
      <c r="BG10" s="10" t="n"/>
      <c r="BH10" s="11" t="n"/>
      <c r="BI10" s="10" t="n"/>
      <c r="BJ10" s="11" t="n"/>
      <c r="BK10" s="10" t="n"/>
      <c r="BL10" s="11" t="n"/>
      <c r="BM10" s="10" t="n"/>
      <c r="BN10" s="11" t="n"/>
      <c r="BO10" s="10" t="n"/>
      <c r="BP10" s="11" t="n"/>
      <c r="BQ10" s="10" t="n"/>
      <c r="BR10" s="11" t="n"/>
      <c r="BS10" s="12" t="n"/>
    </row>
    <row r="11" ht="17.25" customFormat="1" customHeight="1" s="4">
      <c r="B11" s="362" t="n"/>
      <c r="C11" s="410" t="n"/>
      <c r="D11" s="363" t="n"/>
      <c r="E11" s="357" t="n"/>
      <c r="F11" s="364" t="inlineStr">
        <is>
          <t>All Other Items Total</t>
        </is>
      </c>
      <c r="G11" s="359">
        <f>SUM(J30:BS41)</f>
        <v/>
      </c>
      <c r="I11" s="318" t="n"/>
      <c r="J11" s="9" t="n"/>
      <c r="K11" s="10" t="n"/>
      <c r="L11" s="11" t="n"/>
      <c r="M11" s="10" t="n"/>
      <c r="N11" s="11" t="n"/>
      <c r="O11" s="10" t="n"/>
      <c r="P11" s="11" t="n"/>
      <c r="Q11" s="10" t="n"/>
      <c r="R11" s="11" t="n"/>
      <c r="S11" s="10" t="n"/>
      <c r="T11" s="11" t="n"/>
      <c r="U11" s="10" t="n"/>
      <c r="V11" s="11" t="n"/>
      <c r="W11" s="10" t="n"/>
      <c r="X11" s="11" t="n"/>
      <c r="Y11" s="10" t="n"/>
      <c r="Z11" s="11" t="n"/>
      <c r="AA11" s="10" t="n"/>
      <c r="AB11" s="11" t="n"/>
      <c r="AC11" s="10" t="n"/>
      <c r="AD11" s="11" t="n"/>
      <c r="AE11" s="10" t="n"/>
      <c r="AF11" s="11" t="n"/>
      <c r="AG11" s="10" t="n"/>
      <c r="AH11" s="11" t="n"/>
      <c r="AI11" s="10" t="n"/>
      <c r="AJ11" s="11" t="n"/>
      <c r="AK11" s="10" t="n"/>
      <c r="AL11" s="11" t="n"/>
      <c r="AM11" s="10" t="n"/>
      <c r="AN11" s="11" t="n"/>
      <c r="AO11" s="10" t="n"/>
      <c r="AP11" s="11" t="n"/>
      <c r="AQ11" s="10" t="n"/>
      <c r="AR11" s="11" t="n"/>
      <c r="AS11" s="10" t="n"/>
      <c r="AT11" s="11" t="n"/>
      <c r="AU11" s="10" t="n"/>
      <c r="AV11" s="11" t="n"/>
      <c r="AW11" s="10" t="n"/>
      <c r="AX11" s="11" t="n"/>
      <c r="AY11" s="10" t="n"/>
      <c r="AZ11" s="11" t="n"/>
      <c r="BA11" s="10" t="n"/>
      <c r="BB11" s="11" t="n"/>
      <c r="BC11" s="10" t="n"/>
      <c r="BD11" s="11" t="n"/>
      <c r="BE11" s="10" t="n"/>
      <c r="BF11" s="11" t="n"/>
      <c r="BG11" s="10" t="n"/>
      <c r="BH11" s="11" t="n"/>
      <c r="BI11" s="10" t="n"/>
      <c r="BJ11" s="11" t="n"/>
      <c r="BK11" s="10" t="n"/>
      <c r="BL11" s="11" t="n"/>
      <c r="BM11" s="10" t="n"/>
      <c r="BN11" s="11" t="n"/>
      <c r="BO11" s="10" t="n"/>
      <c r="BP11" s="11" t="n"/>
      <c r="BQ11" s="10" t="n"/>
      <c r="BR11" s="11" t="n"/>
      <c r="BS11" s="12" t="n"/>
    </row>
    <row r="12" ht="17.25" customFormat="1" customHeight="1" s="4" thickBot="1">
      <c r="B12" s="365" t="inlineStr">
        <is>
          <t>Total Income</t>
        </is>
      </c>
      <c r="C12" s="368">
        <f>SUM(C8:C11)</f>
        <v/>
      </c>
      <c r="D12" s="366" t="n"/>
      <c r="E12" s="357" t="n"/>
      <c r="F12" s="367" t="inlineStr">
        <is>
          <t>Total Living Expenses</t>
        </is>
      </c>
      <c r="G12" s="368">
        <f>SUM(G8:G11)+SUM(J29:BS29)</f>
        <v/>
      </c>
      <c r="I12" s="318" t="n"/>
      <c r="J12" s="9" t="n"/>
      <c r="K12" s="10" t="n"/>
      <c r="L12" s="11" t="n"/>
      <c r="M12" s="10" t="n"/>
      <c r="N12" s="11" t="n"/>
      <c r="O12" s="10" t="n"/>
      <c r="P12" s="11" t="n"/>
      <c r="Q12" s="10" t="n"/>
      <c r="R12" s="11" t="n"/>
      <c r="S12" s="10" t="n"/>
      <c r="T12" s="11" t="n"/>
      <c r="U12" s="10" t="n"/>
      <c r="V12" s="11" t="n"/>
      <c r="W12" s="10" t="n"/>
      <c r="X12" s="11" t="n"/>
      <c r="Y12" s="10" t="n"/>
      <c r="Z12" s="11" t="n"/>
      <c r="AA12" s="10" t="n"/>
      <c r="AB12" s="11" t="n"/>
      <c r="AC12" s="10" t="n"/>
      <c r="AD12" s="11" t="n"/>
      <c r="AE12" s="10" t="n"/>
      <c r="AF12" s="11" t="n"/>
      <c r="AG12" s="10" t="n"/>
      <c r="AH12" s="11" t="n"/>
      <c r="AI12" s="10" t="n"/>
      <c r="AJ12" s="11" t="n"/>
      <c r="AK12" s="10" t="n"/>
      <c r="AL12" s="11" t="n"/>
      <c r="AM12" s="10" t="n"/>
      <c r="AN12" s="11" t="n"/>
      <c r="AO12" s="10" t="n"/>
      <c r="AP12" s="11" t="n"/>
      <c r="AQ12" s="10" t="n"/>
      <c r="AR12" s="11" t="n"/>
      <c r="AS12" s="10" t="n"/>
      <c r="AT12" s="11" t="n"/>
      <c r="AU12" s="10" t="n"/>
      <c r="AV12" s="11" t="n"/>
      <c r="AW12" s="10" t="n"/>
      <c r="AX12" s="11" t="n"/>
      <c r="AY12" s="10" t="n"/>
      <c r="AZ12" s="11" t="n"/>
      <c r="BA12" s="10" t="n"/>
      <c r="BB12" s="11" t="n"/>
      <c r="BC12" s="10" t="n"/>
      <c r="BD12" s="11" t="n"/>
      <c r="BE12" s="10" t="n"/>
      <c r="BF12" s="11" t="n"/>
      <c r="BG12" s="10" t="n"/>
      <c r="BH12" s="11" t="n"/>
      <c r="BI12" s="10" t="n"/>
      <c r="BJ12" s="11" t="n"/>
      <c r="BK12" s="10" t="n"/>
      <c r="BL12" s="11" t="n"/>
      <c r="BM12" s="10" t="n"/>
      <c r="BN12" s="11" t="n"/>
      <c r="BO12" s="10" t="n"/>
      <c r="BP12" s="11" t="n"/>
      <c r="BQ12" s="10" t="n"/>
      <c r="BR12" s="11" t="n"/>
      <c r="BS12" s="12" t="n"/>
    </row>
    <row r="13" ht="17.25" customFormat="1" customHeight="1" s="4">
      <c r="B13" s="131" t="n"/>
      <c r="F13" s="131" t="n"/>
      <c r="I13" s="318" t="n"/>
      <c r="J13" s="9" t="n"/>
      <c r="K13" s="10" t="n"/>
      <c r="L13" s="11" t="n"/>
      <c r="M13" s="10" t="n"/>
      <c r="N13" s="11" t="n"/>
      <c r="O13" s="10" t="n"/>
      <c r="P13" s="11" t="n"/>
      <c r="Q13" s="10" t="n"/>
      <c r="R13" s="11" t="n"/>
      <c r="S13" s="10" t="n"/>
      <c r="T13" s="11" t="n"/>
      <c r="U13" s="10" t="n"/>
      <c r="V13" s="11" t="n"/>
      <c r="W13" s="10" t="n"/>
      <c r="X13" s="11" t="n"/>
      <c r="Y13" s="10" t="n"/>
      <c r="Z13" s="11" t="n"/>
      <c r="AA13" s="10" t="n"/>
      <c r="AB13" s="11" t="n"/>
      <c r="AC13" s="10" t="n"/>
      <c r="AD13" s="11" t="n"/>
      <c r="AE13" s="10" t="n"/>
      <c r="AF13" s="11" t="n"/>
      <c r="AG13" s="10" t="n"/>
      <c r="AH13" s="11" t="n"/>
      <c r="AI13" s="10" t="n"/>
      <c r="AJ13" s="11" t="n"/>
      <c r="AK13" s="10" t="n"/>
      <c r="AL13" s="11" t="n"/>
      <c r="AM13" s="10" t="n"/>
      <c r="AN13" s="11" t="n"/>
      <c r="AO13" s="10" t="n"/>
      <c r="AP13" s="11" t="n"/>
      <c r="AQ13" s="10" t="n"/>
      <c r="AR13" s="11" t="n"/>
      <c r="AS13" s="10" t="n"/>
      <c r="AT13" s="11" t="n"/>
      <c r="AU13" s="10" t="n"/>
      <c r="AV13" s="11" t="n"/>
      <c r="AW13" s="10" t="n"/>
      <c r="AX13" s="11" t="n"/>
      <c r="AY13" s="10" t="n"/>
      <c r="AZ13" s="11" t="n"/>
      <c r="BA13" s="10" t="n"/>
      <c r="BB13" s="11" t="n"/>
      <c r="BC13" s="10" t="n"/>
      <c r="BD13" s="11" t="n"/>
      <c r="BE13" s="10" t="n"/>
      <c r="BF13" s="11" t="n"/>
      <c r="BG13" s="10" t="n"/>
      <c r="BH13" s="11" t="n"/>
      <c r="BI13" s="10" t="n"/>
      <c r="BJ13" s="11" t="n"/>
      <c r="BK13" s="10" t="n"/>
      <c r="BL13" s="11" t="n"/>
      <c r="BM13" s="10" t="n"/>
      <c r="BN13" s="11" t="n"/>
      <c r="BO13" s="10" t="n"/>
      <c r="BP13" s="11" t="n"/>
      <c r="BQ13" s="10" t="n"/>
      <c r="BR13" s="11" t="n"/>
      <c r="BS13" s="12" t="n"/>
    </row>
    <row r="14" ht="17.25" customFormat="1" customHeight="1" s="4">
      <c r="B14" s="131" t="n"/>
      <c r="F14" s="131" t="n"/>
      <c r="I14" s="318" t="n"/>
      <c r="J14" s="9" t="n"/>
      <c r="K14" s="10" t="n"/>
      <c r="L14" s="11" t="n"/>
      <c r="M14" s="10" t="n"/>
      <c r="N14" s="11" t="n"/>
      <c r="O14" s="10" t="n"/>
      <c r="P14" s="11" t="n"/>
      <c r="Q14" s="10" t="n"/>
      <c r="R14" s="11" t="n"/>
      <c r="S14" s="10" t="n"/>
      <c r="T14" s="11" t="n"/>
      <c r="U14" s="10" t="n"/>
      <c r="V14" s="11" t="n"/>
      <c r="W14" s="10" t="n"/>
      <c r="X14" s="11" t="n"/>
      <c r="Y14" s="10" t="n"/>
      <c r="Z14" s="11" t="n"/>
      <c r="AA14" s="10" t="n"/>
      <c r="AB14" s="11" t="n"/>
      <c r="AC14" s="10" t="n"/>
      <c r="AD14" s="11" t="n"/>
      <c r="AE14" s="10" t="n"/>
      <c r="AF14" s="11" t="n"/>
      <c r="AG14" s="10" t="n"/>
      <c r="AH14" s="11" t="n"/>
      <c r="AI14" s="10" t="n"/>
      <c r="AJ14" s="11" t="n"/>
      <c r="AK14" s="10" t="n"/>
      <c r="AL14" s="11" t="n"/>
      <c r="AM14" s="10" t="n"/>
      <c r="AN14" s="11" t="n"/>
      <c r="AO14" s="10" t="n"/>
      <c r="AP14" s="11" t="n"/>
      <c r="AQ14" s="10" t="n"/>
      <c r="AR14" s="11" t="n"/>
      <c r="AS14" s="10" t="n"/>
      <c r="AT14" s="11" t="n"/>
      <c r="AU14" s="10" t="n"/>
      <c r="AV14" s="11" t="n"/>
      <c r="AW14" s="10" t="n"/>
      <c r="AX14" s="11" t="n"/>
      <c r="AY14" s="10" t="n"/>
      <c r="AZ14" s="11" t="n"/>
      <c r="BA14" s="10" t="n"/>
      <c r="BB14" s="11" t="n"/>
      <c r="BC14" s="10" t="n"/>
      <c r="BD14" s="11" t="n"/>
      <c r="BE14" s="10" t="n"/>
      <c r="BF14" s="11" t="n"/>
      <c r="BG14" s="10" t="n"/>
      <c r="BH14" s="11" t="n"/>
      <c r="BI14" s="10" t="n"/>
      <c r="BJ14" s="11" t="n"/>
      <c r="BK14" s="10" t="n"/>
      <c r="BL14" s="11" t="n"/>
      <c r="BM14" s="10" t="n"/>
      <c r="BN14" s="11" t="n"/>
      <c r="BO14" s="10" t="n"/>
      <c r="BP14" s="11" t="n"/>
      <c r="BQ14" s="10" t="n"/>
      <c r="BR14" s="11" t="n"/>
      <c r="BS14" s="12" t="n"/>
    </row>
    <row r="15" ht="17.25" customFormat="1" customHeight="1" s="4">
      <c r="I15" s="318" t="n"/>
      <c r="J15" s="9" t="n"/>
      <c r="K15" s="10" t="n"/>
      <c r="L15" s="11" t="n"/>
      <c r="M15" s="10" t="n"/>
      <c r="N15" s="11" t="n"/>
      <c r="O15" s="10" t="n"/>
      <c r="P15" s="11" t="n"/>
      <c r="Q15" s="10" t="n"/>
      <c r="R15" s="11" t="n"/>
      <c r="S15" s="10" t="n"/>
      <c r="T15" s="11" t="n"/>
      <c r="U15" s="10" t="n"/>
      <c r="V15" s="11" t="n"/>
      <c r="W15" s="10" t="n"/>
      <c r="X15" s="11" t="n"/>
      <c r="Y15" s="10" t="n"/>
      <c r="Z15" s="11" t="n"/>
      <c r="AA15" s="10" t="n"/>
      <c r="AB15" s="11" t="n"/>
      <c r="AC15" s="10" t="n"/>
      <c r="AD15" s="11" t="n"/>
      <c r="AE15" s="10" t="n"/>
      <c r="AF15" s="11" t="n"/>
      <c r="AG15" s="10" t="n"/>
      <c r="AH15" s="11" t="n"/>
      <c r="AI15" s="10" t="n"/>
      <c r="AJ15" s="11" t="n"/>
      <c r="AK15" s="10" t="n"/>
      <c r="AL15" s="11" t="n"/>
      <c r="AM15" s="10" t="n"/>
      <c r="AN15" s="11" t="n"/>
      <c r="AO15" s="10" t="n"/>
      <c r="AP15" s="11" t="n"/>
      <c r="AQ15" s="10" t="n"/>
      <c r="AR15" s="11" t="n"/>
      <c r="AS15" s="10" t="n"/>
      <c r="AT15" s="11" t="n"/>
      <c r="AU15" s="10" t="n"/>
      <c r="AV15" s="11" t="n"/>
      <c r="AW15" s="10" t="n"/>
      <c r="AX15" s="11" t="n"/>
      <c r="AY15" s="10" t="n"/>
      <c r="AZ15" s="11" t="n"/>
      <c r="BA15" s="10" t="n"/>
      <c r="BB15" s="11" t="n"/>
      <c r="BC15" s="10" t="n"/>
      <c r="BD15" s="11" t="n"/>
      <c r="BE15" s="10" t="n"/>
      <c r="BF15" s="11" t="n"/>
      <c r="BG15" s="10" t="n"/>
      <c r="BH15" s="11" t="n"/>
      <c r="BI15" s="10" t="n"/>
      <c r="BJ15" s="11" t="n"/>
      <c r="BK15" s="10" t="n"/>
      <c r="BL15" s="11" t="n"/>
      <c r="BM15" s="10" t="n"/>
      <c r="BN15" s="11" t="n"/>
      <c r="BO15" s="10" t="n"/>
      <c r="BP15" s="11" t="n"/>
      <c r="BQ15" s="10" t="n"/>
      <c r="BR15" s="11" t="n"/>
      <c r="BS15" s="12" t="n"/>
    </row>
    <row r="16" ht="17.25" customFormat="1" customHeight="1" s="4" thickBot="1">
      <c r="B16" s="132" t="inlineStr">
        <is>
          <t>Fixed Expenses This Month</t>
        </is>
      </c>
      <c r="I16" s="318" t="n"/>
      <c r="J16" s="9" t="n"/>
      <c r="K16" s="10" t="n"/>
      <c r="L16" s="11" t="n"/>
      <c r="M16" s="10" t="n"/>
      <c r="N16" s="11" t="n"/>
      <c r="O16" s="10" t="n"/>
      <c r="P16" s="11" t="n"/>
      <c r="Q16" s="10" t="n"/>
      <c r="R16" s="11" t="n"/>
      <c r="S16" s="10" t="n"/>
      <c r="T16" s="11" t="n"/>
      <c r="U16" s="10" t="n"/>
      <c r="V16" s="11" t="n"/>
      <c r="W16" s="10" t="n"/>
      <c r="X16" s="11" t="n"/>
      <c r="Y16" s="10" t="n"/>
      <c r="Z16" s="11" t="n"/>
      <c r="AA16" s="10" t="n"/>
      <c r="AB16" s="11" t="n"/>
      <c r="AC16" s="10" t="n"/>
      <c r="AD16" s="11" t="n"/>
      <c r="AE16" s="10" t="n"/>
      <c r="AF16" s="11" t="n"/>
      <c r="AG16" s="10" t="n"/>
      <c r="AH16" s="11" t="n"/>
      <c r="AI16" s="10" t="n"/>
      <c r="AJ16" s="11" t="n"/>
      <c r="AK16" s="10" t="n"/>
      <c r="AL16" s="11" t="n"/>
      <c r="AM16" s="10" t="n"/>
      <c r="AN16" s="11" t="n"/>
      <c r="AO16" s="10" t="n"/>
      <c r="AP16" s="11" t="n"/>
      <c r="AQ16" s="10" t="n"/>
      <c r="AR16" s="11" t="n"/>
      <c r="AS16" s="10" t="n"/>
      <c r="AT16" s="11" t="n"/>
      <c r="AU16" s="10" t="n"/>
      <c r="AV16" s="11" t="n"/>
      <c r="AW16" s="10" t="n"/>
      <c r="AX16" s="11" t="n"/>
      <c r="AY16" s="10" t="n"/>
      <c r="AZ16" s="11" t="n"/>
      <c r="BA16" s="10" t="n"/>
      <c r="BB16" s="11" t="n"/>
      <c r="BC16" s="10" t="n"/>
      <c r="BD16" s="11" t="n"/>
      <c r="BE16" s="10" t="n"/>
      <c r="BF16" s="11" t="n"/>
      <c r="BG16" s="10" t="n"/>
      <c r="BH16" s="11" t="n"/>
      <c r="BI16" s="10" t="n"/>
      <c r="BJ16" s="11" t="n"/>
      <c r="BK16" s="10" t="n"/>
      <c r="BL16" s="11" t="n"/>
      <c r="BM16" s="10" t="n"/>
      <c r="BN16" s="11" t="n"/>
      <c r="BO16" s="10" t="n"/>
      <c r="BP16" s="11" t="n"/>
      <c r="BQ16" s="10" t="n"/>
      <c r="BR16" s="11" t="n"/>
      <c r="BS16" s="12" t="n"/>
    </row>
    <row r="17" ht="17.25" customFormat="1" customHeight="1" s="4" thickBot="1">
      <c r="B17" s="133" t="inlineStr">
        <is>
          <t>Item</t>
        </is>
      </c>
      <c r="C17" s="134" t="inlineStr">
        <is>
          <t>Amount</t>
        </is>
      </c>
      <c r="D17" s="135" t="inlineStr">
        <is>
          <t>Date Paid</t>
        </is>
      </c>
      <c r="F17" s="132" t="inlineStr">
        <is>
          <t>Balance This Month</t>
        </is>
      </c>
      <c r="I17" s="324" t="inlineStr">
        <is>
          <t>Snacks</t>
        </is>
      </c>
      <c r="J17" s="369" t="n"/>
      <c r="K17" s="370" t="n"/>
      <c r="L17" s="371" t="n"/>
      <c r="M17" s="370" t="n"/>
      <c r="N17" s="371" t="n"/>
      <c r="O17" s="370" t="n"/>
      <c r="P17" s="371" t="n"/>
      <c r="Q17" s="370" t="n"/>
      <c r="R17" s="371" t="n"/>
      <c r="S17" s="370" t="n"/>
      <c r="T17" s="371" t="n"/>
      <c r="U17" s="370" t="n"/>
      <c r="V17" s="371" t="n"/>
      <c r="W17" s="370" t="n"/>
      <c r="X17" s="371" t="n"/>
      <c r="Y17" s="370" t="n"/>
      <c r="Z17" s="372" t="n"/>
      <c r="AA17" s="370" t="n"/>
      <c r="AB17" s="371" t="n"/>
      <c r="AC17" s="370" t="n"/>
      <c r="AD17" s="371" t="n"/>
      <c r="AE17" s="370" t="n"/>
      <c r="AF17" s="371" t="n"/>
      <c r="AG17" s="370" t="n"/>
      <c r="AH17" s="371" t="n"/>
      <c r="AI17" s="370" t="n"/>
      <c r="AJ17" s="371" t="n"/>
      <c r="AK17" s="370" t="n"/>
      <c r="AL17" s="371" t="n"/>
      <c r="AM17" s="370" t="n"/>
      <c r="AN17" s="371" t="n"/>
      <c r="AO17" s="370" t="n"/>
      <c r="AP17" s="371" t="n"/>
      <c r="AQ17" s="370" t="n"/>
      <c r="AR17" s="371" t="n"/>
      <c r="AS17" s="370" t="n"/>
      <c r="AT17" s="371" t="n"/>
      <c r="AU17" s="370" t="n"/>
      <c r="AV17" s="371" t="n"/>
      <c r="AW17" s="370" t="n"/>
      <c r="AX17" s="371" t="n"/>
      <c r="AY17" s="370" t="n"/>
      <c r="AZ17" s="371" t="n"/>
      <c r="BA17" s="370" t="n"/>
      <c r="BB17" s="371" t="n"/>
      <c r="BC17" s="370" t="n"/>
      <c r="BD17" s="371" t="n"/>
      <c r="BE17" s="370" t="n"/>
      <c r="BF17" s="371" t="n"/>
      <c r="BG17" s="370" t="n"/>
      <c r="BH17" s="371" t="n"/>
      <c r="BI17" s="370" t="n"/>
      <c r="BJ17" s="371" t="n"/>
      <c r="BK17" s="370" t="n"/>
      <c r="BL17" s="371" t="n"/>
      <c r="BM17" s="370" t="n"/>
      <c r="BN17" s="371" t="n"/>
      <c r="BO17" s="370" t="n"/>
      <c r="BP17" s="371" t="n"/>
      <c r="BQ17" s="370" t="n"/>
      <c r="BR17" s="371" t="n"/>
      <c r="BS17" s="373" t="n"/>
    </row>
    <row r="18" ht="17.25" customFormat="1" customHeight="1" s="4">
      <c r="B18" s="138" t="inlineStr">
        <is>
          <t>Income offset</t>
        </is>
      </c>
      <c r="C18" s="370" t="n"/>
      <c r="D18" s="139" t="n"/>
      <c r="F18" s="320">
        <f>C12-C39-G12+SUM(J43:BS43)</f>
        <v/>
      </c>
      <c r="G18" s="321" t="n"/>
      <c r="I18" s="318" t="n"/>
      <c r="J18" s="369" t="n"/>
      <c r="K18" s="370" t="n"/>
      <c r="L18" s="371" t="n"/>
      <c r="M18" s="370" t="n"/>
      <c r="N18" s="371" t="n"/>
      <c r="O18" s="370" t="n"/>
      <c r="P18" s="371" t="n"/>
      <c r="Q18" s="370" t="n"/>
      <c r="R18" s="371" t="n"/>
      <c r="S18" s="370" t="n"/>
      <c r="T18" s="371" t="n"/>
      <c r="U18" s="370" t="n"/>
      <c r="V18" s="371" t="n"/>
      <c r="W18" s="370" t="n"/>
      <c r="X18" s="371" t="n"/>
      <c r="Y18" s="370" t="n"/>
      <c r="Z18" s="371" t="n"/>
      <c r="AA18" s="370" t="n"/>
      <c r="AB18" s="371" t="n"/>
      <c r="AC18" s="370" t="n"/>
      <c r="AD18" s="371" t="n"/>
      <c r="AE18" s="370" t="n"/>
      <c r="AF18" s="371" t="n"/>
      <c r="AG18" s="370" t="n"/>
      <c r="AH18" s="371" t="n"/>
      <c r="AI18" s="370" t="n"/>
      <c r="AJ18" s="371" t="n"/>
      <c r="AK18" s="370" t="n"/>
      <c r="AL18" s="371" t="n"/>
      <c r="AM18" s="370" t="n"/>
      <c r="AN18" s="371" t="n"/>
      <c r="AO18" s="370" t="n"/>
      <c r="AP18" s="371" t="n"/>
      <c r="AQ18" s="370" t="n"/>
      <c r="AR18" s="371" t="n"/>
      <c r="AS18" s="370" t="n"/>
      <c r="AT18" s="371" t="n"/>
      <c r="AU18" s="370" t="n"/>
      <c r="AV18" s="371" t="n"/>
      <c r="AW18" s="370" t="n"/>
      <c r="AX18" s="371" t="n"/>
      <c r="AY18" s="370" t="n"/>
      <c r="AZ18" s="371" t="n"/>
      <c r="BA18" s="370" t="n"/>
      <c r="BB18" s="371" t="n"/>
      <c r="BC18" s="370" t="n"/>
      <c r="BD18" s="371" t="n"/>
      <c r="BE18" s="370" t="n"/>
      <c r="BF18" s="371" t="n"/>
      <c r="BG18" s="370" t="n"/>
      <c r="BH18" s="371" t="n"/>
      <c r="BI18" s="370" t="n"/>
      <c r="BJ18" s="371" t="n"/>
      <c r="BK18" s="370" t="n"/>
      <c r="BL18" s="371" t="n"/>
      <c r="BM18" s="370" t="n"/>
      <c r="BN18" s="371" t="n"/>
      <c r="BO18" s="370" t="n"/>
      <c r="BP18" s="371" t="n"/>
      <c r="BQ18" s="370" t="n"/>
      <c r="BR18" s="371" t="n"/>
      <c r="BS18" s="373" t="n"/>
    </row>
    <row r="19" ht="17.25" customFormat="1" customHeight="1" s="4" thickBot="1">
      <c r="B19" s="138" t="inlineStr">
        <is>
          <t>GAS</t>
        </is>
      </c>
      <c r="C19" s="370" t="n"/>
      <c r="D19" s="139" t="n"/>
      <c r="F19" s="322" t="n"/>
      <c r="G19" s="323" t="n"/>
      <c r="I19" s="312" t="n"/>
      <c r="J19" s="369" t="n"/>
      <c r="K19" s="370" t="n"/>
      <c r="L19" s="371" t="n"/>
      <c r="M19" s="370" t="n"/>
      <c r="N19" s="371" t="n"/>
      <c r="O19" s="370" t="n"/>
      <c r="P19" s="371" t="n"/>
      <c r="Q19" s="370" t="n"/>
      <c r="R19" s="371" t="n"/>
      <c r="S19" s="370" t="n"/>
      <c r="T19" s="371" t="n"/>
      <c r="U19" s="370" t="n"/>
      <c r="V19" s="371" t="n"/>
      <c r="W19" s="370" t="n"/>
      <c r="X19" s="371" t="n"/>
      <c r="Y19" s="370" t="n"/>
      <c r="Z19" s="371" t="n"/>
      <c r="AA19" s="370" t="n"/>
      <c r="AB19" s="371" t="n"/>
      <c r="AC19" s="370" t="n"/>
      <c r="AD19" s="371" t="n"/>
      <c r="AE19" s="370" t="n"/>
      <c r="AF19" s="371" t="n"/>
      <c r="AG19" s="370" t="n"/>
      <c r="AH19" s="371" t="n"/>
      <c r="AI19" s="370" t="n"/>
      <c r="AJ19" s="371" t="n"/>
      <c r="AK19" s="370" t="n"/>
      <c r="AL19" s="371" t="n"/>
      <c r="AM19" s="370" t="n"/>
      <c r="AN19" s="371" t="n"/>
      <c r="AO19" s="370" t="n"/>
      <c r="AP19" s="371" t="n"/>
      <c r="AQ19" s="370" t="n"/>
      <c r="AR19" s="371" t="n"/>
      <c r="AS19" s="370" t="n"/>
      <c r="AT19" s="371" t="n"/>
      <c r="AU19" s="370" t="n"/>
      <c r="AV19" s="371" t="n"/>
      <c r="AW19" s="370" t="n"/>
      <c r="AX19" s="371" t="n"/>
      <c r="AY19" s="370" t="n"/>
      <c r="AZ19" s="371" t="n"/>
      <c r="BA19" s="370" t="n"/>
      <c r="BB19" s="371" t="n"/>
      <c r="BC19" s="370" t="n"/>
      <c r="BD19" s="371" t="n"/>
      <c r="BE19" s="370" t="n"/>
      <c r="BF19" s="371" t="n"/>
      <c r="BG19" s="370" t="n"/>
      <c r="BH19" s="371" t="n"/>
      <c r="BI19" s="370" t="n"/>
      <c r="BJ19" s="371" t="n"/>
      <c r="BK19" s="370" t="n"/>
      <c r="BL19" s="371" t="n"/>
      <c r="BM19" s="370" t="n"/>
      <c r="BN19" s="371" t="n"/>
      <c r="BO19" s="370" t="n"/>
      <c r="BP19" s="371" t="n"/>
      <c r="BQ19" s="370" t="n"/>
      <c r="BR19" s="371" t="n"/>
      <c r="BS19" s="373" t="n"/>
    </row>
    <row r="20" ht="17.25" customFormat="1" customHeight="1" s="4" thickBot="1">
      <c r="B20" s="138" t="inlineStr">
        <is>
          <t>Electricity &amp; Water</t>
        </is>
      </c>
      <c r="C20" s="374" t="n"/>
      <c r="D20" s="140" t="n"/>
      <c r="I20" s="141" t="inlineStr">
        <is>
          <t>Dining Out</t>
        </is>
      </c>
      <c r="J20" s="375" t="n"/>
      <c r="K20" s="376" t="n"/>
      <c r="L20" s="377" t="n"/>
      <c r="M20" s="376" t="n"/>
      <c r="N20" s="377" t="n"/>
      <c r="O20" s="376" t="n"/>
      <c r="P20" s="377" t="n"/>
      <c r="Q20" s="376" t="n"/>
      <c r="R20" s="378" t="n"/>
      <c r="S20" s="376" t="n"/>
      <c r="T20" s="371" t="n"/>
      <c r="U20" s="370" t="n"/>
      <c r="V20" s="378" t="n"/>
      <c r="W20" s="376" t="n"/>
      <c r="X20" s="378" t="n"/>
      <c r="Y20" s="376" t="n"/>
      <c r="Z20" s="377" t="n"/>
      <c r="AA20" s="376" t="n"/>
      <c r="AB20" s="377" t="n"/>
      <c r="AC20" s="376" t="n"/>
      <c r="AD20" s="377" t="n"/>
      <c r="AE20" s="376" t="n"/>
      <c r="AF20" s="378" t="n"/>
      <c r="AG20" s="376" t="n"/>
      <c r="AH20" s="378" t="n"/>
      <c r="AI20" s="376" t="n"/>
      <c r="AJ20" s="378" t="n"/>
      <c r="AK20" s="376" t="n"/>
      <c r="AL20" s="379" t="n"/>
      <c r="AM20" s="376" t="n"/>
      <c r="AN20" s="378" t="n"/>
      <c r="AO20" s="376" t="n"/>
      <c r="AP20" s="378" t="n"/>
      <c r="AQ20" s="376" t="n"/>
      <c r="AR20" s="378" t="n"/>
      <c r="AS20" s="376" t="n"/>
      <c r="AT20" s="378" t="n"/>
      <c r="AU20" s="376" t="n"/>
      <c r="AV20" s="378" t="n"/>
      <c r="AW20" s="376" t="n"/>
      <c r="AX20" s="378" t="n"/>
      <c r="AY20" s="376" t="n"/>
      <c r="AZ20" s="378" t="n"/>
      <c r="BA20" s="376" t="n"/>
      <c r="BB20" s="378" t="n"/>
      <c r="BC20" s="376" t="n"/>
      <c r="BD20" s="378" t="n"/>
      <c r="BE20" s="376" t="n"/>
      <c r="BF20" s="378" t="n"/>
      <c r="BG20" s="376" t="n"/>
      <c r="BH20" s="378" t="n"/>
      <c r="BI20" s="376" t="n"/>
      <c r="BJ20" s="378" t="n"/>
      <c r="BK20" s="376" t="n"/>
      <c r="BL20" s="378" t="n"/>
      <c r="BM20" s="376" t="n"/>
      <c r="BN20" s="378" t="n"/>
      <c r="BO20" s="376" t="n"/>
      <c r="BP20" s="378" t="n"/>
      <c r="BQ20" s="376" t="n"/>
      <c r="BR20" s="378" t="n"/>
      <c r="BS20" s="380" t="n"/>
      <c r="BT20" s="439" t="n"/>
    </row>
    <row r="21" ht="17.25" customFormat="1" customHeight="1" s="4" thickBot="1" thickTop="1">
      <c r="B21" s="144" t="inlineStr">
        <is>
          <t>RESP</t>
        </is>
      </c>
      <c r="C21" s="370" t="n"/>
      <c r="D21" s="139" t="n"/>
      <c r="F21" s="132" t="inlineStr">
        <is>
          <t>Cumulative Balance</t>
        </is>
      </c>
      <c r="I21" s="145" t="inlineStr">
        <is>
          <t>Total Food</t>
        </is>
      </c>
      <c r="J21" s="381" t="n"/>
      <c r="K21" s="382">
        <f>SUM(K6:K20)</f>
        <v/>
      </c>
      <c r="L21" s="382">
        <f>SUM(L6:L20)</f>
        <v/>
      </c>
      <c r="M21" s="382">
        <f>SUM(M6:M20)</f>
        <v/>
      </c>
      <c r="N21" s="382">
        <f>SUM(N6:N20)</f>
        <v/>
      </c>
      <c r="O21" s="382">
        <f>SUM(O6:O20)</f>
        <v/>
      </c>
      <c r="P21" s="382">
        <f>SUM(P6:P20)</f>
        <v/>
      </c>
      <c r="Q21" s="382">
        <f>SUM(Q6:Q20)</f>
        <v/>
      </c>
      <c r="R21" s="382">
        <f>SUM(R6:R20)</f>
        <v/>
      </c>
      <c r="S21" s="382">
        <f>SUM(S6:S20)</f>
        <v/>
      </c>
      <c r="T21" s="382">
        <f>SUM(T6:T20)</f>
        <v/>
      </c>
      <c r="U21" s="382">
        <f>SUM(U6:U20)</f>
        <v/>
      </c>
      <c r="V21" s="382">
        <f>SUM(V6:V20)</f>
        <v/>
      </c>
      <c r="W21" s="382">
        <f>SUM(W6:W20)</f>
        <v/>
      </c>
      <c r="X21" s="382">
        <f>SUM(X6:X20)</f>
        <v/>
      </c>
      <c r="Y21" s="382">
        <f>SUM(Y6:Y20)</f>
        <v/>
      </c>
      <c r="Z21" s="382">
        <f>SUM(Z6:Z20)</f>
        <v/>
      </c>
      <c r="AA21" s="382">
        <f>SUM(AA6:AA20)</f>
        <v/>
      </c>
      <c r="AB21" s="382">
        <f>SUM(AB6:AB20)</f>
        <v/>
      </c>
      <c r="AC21" s="382">
        <f>SUM(AC6:AC20)</f>
        <v/>
      </c>
      <c r="AD21" s="382">
        <f>SUM(AD6:AD20)</f>
        <v/>
      </c>
      <c r="AE21" s="382">
        <f>SUM(AE6:AE20)</f>
        <v/>
      </c>
      <c r="AF21" s="382">
        <f>SUM(AF6:AF20)</f>
        <v/>
      </c>
      <c r="AG21" s="382">
        <f>SUM(AG6:AG20)</f>
        <v/>
      </c>
      <c r="AH21" s="382">
        <f>SUM(AH6:AH20)</f>
        <v/>
      </c>
      <c r="AI21" s="382">
        <f>SUM(AI6:AI20)</f>
        <v/>
      </c>
      <c r="AJ21" s="382">
        <f>SUM(AJ6:AJ20)</f>
        <v/>
      </c>
      <c r="AK21" s="382">
        <f>SUM(AK6:AK20)</f>
        <v/>
      </c>
      <c r="AL21" s="382">
        <f>SUM(AL6:AL20)</f>
        <v/>
      </c>
      <c r="AM21" s="382">
        <f>SUM(AM6:AM20)</f>
        <v/>
      </c>
      <c r="AN21" s="382">
        <f>SUM(AN6:AN20)</f>
        <v/>
      </c>
      <c r="AO21" s="382">
        <f>SUM(AO6:AO20)</f>
        <v/>
      </c>
      <c r="AP21" s="382">
        <f>SUM(AP6:AP20)</f>
        <v/>
      </c>
      <c r="AQ21" s="382">
        <f>SUM(AQ6:AQ20)</f>
        <v/>
      </c>
      <c r="AR21" s="382">
        <f>SUM(AR6:AR20)</f>
        <v/>
      </c>
      <c r="AS21" s="382">
        <f>SUM(AS6:AS20)</f>
        <v/>
      </c>
      <c r="AT21" s="382">
        <f>SUM(AT6:AT20)</f>
        <v/>
      </c>
      <c r="AU21" s="382">
        <f>SUM(AU6:AU20)</f>
        <v/>
      </c>
      <c r="AV21" s="382">
        <f>SUM(AV6:AV20)</f>
        <v/>
      </c>
      <c r="AW21" s="382">
        <f>SUM(AW6:AW20)</f>
        <v/>
      </c>
      <c r="AX21" s="382">
        <f>SUM(AX6:AX20)</f>
        <v/>
      </c>
      <c r="AY21" s="382">
        <f>SUM(AY6:AY20)</f>
        <v/>
      </c>
      <c r="AZ21" s="382">
        <f>SUM(AZ6:AZ20)</f>
        <v/>
      </c>
      <c r="BA21" s="382">
        <f>SUM(BA6:BA20)</f>
        <v/>
      </c>
      <c r="BB21" s="382">
        <f>SUM(BB6:BB20)</f>
        <v/>
      </c>
      <c r="BC21" s="382">
        <f>SUM(BC6:BC20)</f>
        <v/>
      </c>
      <c r="BD21" s="382">
        <f>SUM(BD6:BD20)</f>
        <v/>
      </c>
      <c r="BE21" s="382">
        <f>SUM(BE6:BE20)</f>
        <v/>
      </c>
      <c r="BF21" s="382">
        <f>SUM(BF6:BF20)</f>
        <v/>
      </c>
      <c r="BG21" s="382">
        <f>SUM(BG6:BG20)</f>
        <v/>
      </c>
      <c r="BH21" s="382">
        <f>SUM(BH6:BH20)</f>
        <v/>
      </c>
      <c r="BI21" s="382">
        <f>SUM(BI6:BI20)</f>
        <v/>
      </c>
      <c r="BJ21" s="382">
        <f>SUM(BJ6:BJ20)</f>
        <v/>
      </c>
      <c r="BK21" s="382">
        <f>SUM(BK6:BK20)</f>
        <v/>
      </c>
      <c r="BL21" s="382">
        <f>SUM(BL6:BL20)</f>
        <v/>
      </c>
      <c r="BM21" s="382">
        <f>SUM(BM6:BM20)</f>
        <v/>
      </c>
      <c r="BN21" s="382">
        <f>SUM(BN6:BN20)</f>
        <v/>
      </c>
      <c r="BO21" s="382">
        <f>SUM(BO6:BO20)</f>
        <v/>
      </c>
      <c r="BP21" s="382">
        <f>SUM(BP6:BP20)</f>
        <v/>
      </c>
      <c r="BQ21" s="382">
        <f>SUM(BQ6:BQ20)</f>
        <v/>
      </c>
      <c r="BR21" s="382">
        <f>SUM(BR6:BR20)</f>
        <v/>
      </c>
      <c r="BS21" s="383">
        <f>SUM(BS6:BS20)</f>
        <v/>
      </c>
    </row>
    <row r="22" ht="17.25" customFormat="1" customHeight="1" s="4" thickTop="1">
      <c r="B22" s="138" t="inlineStr">
        <is>
          <t>Mobile Phone</t>
        </is>
      </c>
      <c r="C22" s="370" t="n"/>
      <c r="D22" s="139" t="n"/>
      <c r="F22" s="320">
        <f>F18+Nov!F22</f>
        <v/>
      </c>
      <c r="G22" s="321" t="n"/>
      <c r="I22" s="311" t="inlineStr">
        <is>
          <t>Household Goods</t>
        </is>
      </c>
      <c r="J22" s="384" t="n"/>
      <c r="K22" s="385" t="n"/>
      <c r="L22" s="386" t="n"/>
      <c r="M22" s="385" t="n"/>
      <c r="N22" s="387" t="n"/>
      <c r="O22" s="385" t="n"/>
      <c r="P22" s="386" t="n"/>
      <c r="Q22" s="385" t="n"/>
      <c r="R22" s="386" t="n"/>
      <c r="S22" s="385" t="n"/>
      <c r="T22" s="387" t="n"/>
      <c r="U22" s="385" t="n"/>
      <c r="V22" s="386" t="n"/>
      <c r="W22" s="385" t="n"/>
      <c r="X22" s="386" t="n"/>
      <c r="Y22" s="385" t="n"/>
      <c r="Z22" s="386" t="n"/>
      <c r="AA22" s="385" t="n"/>
      <c r="AB22" s="387" t="n"/>
      <c r="AC22" s="385" t="n"/>
      <c r="AD22" s="387" t="n"/>
      <c r="AE22" s="385" t="n"/>
      <c r="AF22" s="371" t="n"/>
      <c r="AG22" s="385" t="n"/>
      <c r="AH22" s="386" t="n"/>
      <c r="AI22" s="385" t="n"/>
      <c r="AJ22" s="371" t="n"/>
      <c r="AK22" s="385" t="n"/>
      <c r="AL22" s="387" t="n"/>
      <c r="AM22" s="385" t="n"/>
      <c r="AN22" s="386" t="n"/>
      <c r="AO22" s="370" t="n"/>
      <c r="AP22" s="386" t="n"/>
      <c r="AQ22" s="370" t="n"/>
      <c r="AR22" s="386" t="n"/>
      <c r="AS22" s="385" t="n"/>
      <c r="AT22" s="386" t="n"/>
      <c r="AU22" s="385" t="n"/>
      <c r="AV22" s="386" t="n"/>
      <c r="AW22" s="385" t="n"/>
      <c r="AX22" s="388" t="n"/>
      <c r="AY22" s="385" t="n"/>
      <c r="AZ22" s="386" t="n"/>
      <c r="BA22" s="385" t="n"/>
      <c r="BB22" s="386" t="n"/>
      <c r="BC22" s="385" t="n"/>
      <c r="BD22" s="386" t="n"/>
      <c r="BE22" s="385" t="n"/>
      <c r="BF22" s="386" t="n"/>
      <c r="BG22" s="385" t="n"/>
      <c r="BH22" s="386" t="n"/>
      <c r="BI22" s="385" t="n"/>
      <c r="BJ22" s="388" t="n"/>
      <c r="BK22" s="385" t="n"/>
      <c r="BL22" s="388" t="n"/>
      <c r="BM22" s="385" t="n"/>
      <c r="BN22" s="388" t="n"/>
      <c r="BO22" s="385" t="n"/>
      <c r="BP22" s="386" t="n"/>
      <c r="BQ22" s="385" t="n"/>
      <c r="BR22" s="371" t="n"/>
      <c r="BS22" s="389" t="n"/>
    </row>
    <row r="23" ht="17.25" customFormat="1" customHeight="1" s="4" thickBot="1">
      <c r="B23" s="138" t="inlineStr">
        <is>
          <t>Daycare</t>
        </is>
      </c>
      <c r="C23" s="374" t="n"/>
      <c r="D23" s="140" t="n"/>
      <c r="F23" s="322" t="n"/>
      <c r="G23" s="323" t="n"/>
      <c r="I23" s="318" t="n"/>
      <c r="J23" s="369" t="n"/>
      <c r="K23" s="370" t="n"/>
      <c r="L23" s="371" t="n"/>
      <c r="M23" s="370" t="n"/>
      <c r="N23" s="371" t="n"/>
      <c r="O23" s="370" t="n"/>
      <c r="P23" s="371" t="n"/>
      <c r="Q23" s="370" t="n"/>
      <c r="R23" s="371" t="n"/>
      <c r="S23" s="370" t="n"/>
      <c r="T23" s="371" t="n"/>
      <c r="U23" s="370" t="n"/>
      <c r="V23" s="371" t="n"/>
      <c r="W23" s="370" t="n"/>
      <c r="X23" s="371" t="n"/>
      <c r="Y23" s="370" t="n"/>
      <c r="Z23" s="372" t="n"/>
      <c r="AA23" s="370" t="n"/>
      <c r="AB23" s="371" t="n"/>
      <c r="AC23" s="370" t="n"/>
      <c r="AD23" s="371" t="n"/>
      <c r="AE23" s="370" t="n"/>
      <c r="AF23" s="371" t="n"/>
      <c r="AG23" s="370" t="n"/>
      <c r="AH23" s="371" t="n"/>
      <c r="AI23" s="370" t="n"/>
      <c r="AJ23" s="371" t="n"/>
      <c r="AK23" s="370" t="n"/>
      <c r="AL23" s="371" t="n"/>
      <c r="AM23" s="370" t="n"/>
      <c r="AN23" s="371" t="n"/>
      <c r="AO23" s="370" t="n"/>
      <c r="AP23" s="386" t="n"/>
      <c r="AQ23" s="370" t="n"/>
      <c r="AR23" s="371" t="n"/>
      <c r="AS23" s="370" t="n"/>
      <c r="AT23" s="371" t="n"/>
      <c r="AU23" s="370" t="n"/>
      <c r="AV23" s="388" t="n"/>
      <c r="AW23" s="370" t="n"/>
      <c r="AX23" s="388" t="n"/>
      <c r="AY23" s="385" t="n"/>
      <c r="AZ23" s="371" t="n"/>
      <c r="BA23" s="370" t="n"/>
      <c r="BB23" s="371" t="n"/>
      <c r="BC23" s="370" t="n"/>
      <c r="BD23" s="371" t="n"/>
      <c r="BE23" s="370" t="n"/>
      <c r="BF23" s="371" t="n"/>
      <c r="BG23" s="370" t="n"/>
      <c r="BH23" s="371" t="n"/>
      <c r="BI23" s="370" t="n"/>
      <c r="BJ23" s="371" t="n"/>
      <c r="BK23" s="370" t="n"/>
      <c r="BL23" s="371" t="n"/>
      <c r="BM23" s="370" t="n"/>
      <c r="BN23" s="371" t="n"/>
      <c r="BO23" s="370" t="n"/>
      <c r="BP23" s="371" t="n"/>
      <c r="BQ23" s="370" t="n"/>
      <c r="BR23" s="371" t="n"/>
      <c r="BS23" s="389" t="n"/>
    </row>
    <row r="24" ht="17.25" customFormat="1" customHeight="1" s="4">
      <c r="B24" s="138" t="inlineStr">
        <is>
          <t>Rent / Mortgage</t>
        </is>
      </c>
      <c r="C24" s="370" t="n"/>
      <c r="D24" s="139" t="n"/>
      <c r="F24" s="148" t="n"/>
      <c r="G24" s="148" t="n"/>
      <c r="I24" s="318" t="n"/>
      <c r="J24" s="369" t="n"/>
      <c r="K24" s="370" t="n"/>
      <c r="L24" s="371" t="n"/>
      <c r="M24" s="370" t="n"/>
      <c r="N24" s="371" t="n"/>
      <c r="O24" s="370" t="n"/>
      <c r="P24" s="371" t="n"/>
      <c r="Q24" s="370" t="n"/>
      <c r="R24" s="371" t="n"/>
      <c r="S24" s="370" t="n"/>
      <c r="T24" s="371" t="n"/>
      <c r="U24" s="370" t="n"/>
      <c r="V24" s="371" t="n"/>
      <c r="W24" s="370" t="n"/>
      <c r="X24" s="371" t="n"/>
      <c r="Y24" s="370" t="n"/>
      <c r="Z24" s="371" t="n"/>
      <c r="AA24" s="370" t="n"/>
      <c r="AB24" s="371" t="n"/>
      <c r="AC24" s="370" t="n"/>
      <c r="AD24" s="371" t="n"/>
      <c r="AE24" s="370" t="n"/>
      <c r="AF24" s="371" t="n"/>
      <c r="AG24" s="370" t="n"/>
      <c r="AH24" s="371" t="n"/>
      <c r="AI24" s="370" t="n"/>
      <c r="AJ24" s="371" t="n"/>
      <c r="AK24" s="370" t="n"/>
      <c r="AL24" s="371" t="n"/>
      <c r="AM24" s="370" t="n"/>
      <c r="AN24" s="371" t="n"/>
      <c r="AO24" s="370" t="n"/>
      <c r="AP24" s="371" t="n"/>
      <c r="AQ24" s="370" t="n"/>
      <c r="AR24" s="371" t="n"/>
      <c r="AS24" s="370" t="n"/>
      <c r="AT24" s="371" t="n"/>
      <c r="AU24" s="370" t="n"/>
      <c r="AV24" s="371" t="n"/>
      <c r="AW24" s="370" t="n"/>
      <c r="AX24" s="371" t="n"/>
      <c r="AY24" s="370" t="n"/>
      <c r="AZ24" s="371" t="n"/>
      <c r="BA24" s="370" t="n"/>
      <c r="BB24" s="371" t="n"/>
      <c r="BC24" s="370" t="n"/>
      <c r="BD24" s="371" t="n"/>
      <c r="BE24" s="370" t="n"/>
      <c r="BF24" s="371" t="n"/>
      <c r="BG24" s="370" t="n"/>
      <c r="BH24" s="371" t="n"/>
      <c r="BI24" s="370" t="n"/>
      <c r="BJ24" s="371" t="n"/>
      <c r="BK24" s="370" t="n"/>
      <c r="BL24" s="371" t="n"/>
      <c r="BM24" s="370" t="n"/>
      <c r="BN24" s="371" t="n"/>
      <c r="BO24" s="370" t="n"/>
      <c r="BP24" s="371" t="n"/>
      <c r="BQ24" s="370" t="n"/>
      <c r="BR24" s="371" t="n"/>
      <c r="BS24" s="373" t="n"/>
    </row>
    <row r="25" ht="17.25" customFormat="1" customHeight="1" s="4" thickBot="1">
      <c r="B25" s="138" t="inlineStr">
        <is>
          <t>Internet</t>
        </is>
      </c>
      <c r="C25" s="374" t="n"/>
      <c r="D25" s="140" t="n"/>
      <c r="F25" s="132" t="inlineStr">
        <is>
          <t>Notes This Month</t>
        </is>
      </c>
      <c r="G25" s="148" t="n"/>
      <c r="I25" s="318" t="n"/>
      <c r="J25" s="369" t="n"/>
      <c r="K25" s="370" t="n"/>
      <c r="L25" s="371" t="n"/>
      <c r="M25" s="370" t="n"/>
      <c r="N25" s="371" t="n"/>
      <c r="O25" s="370" t="n"/>
      <c r="P25" s="371" t="n"/>
      <c r="Q25" s="370" t="n"/>
      <c r="R25" s="371" t="n"/>
      <c r="S25" s="370" t="n"/>
      <c r="T25" s="371" t="n"/>
      <c r="U25" s="370" t="n"/>
      <c r="V25" s="371" t="n"/>
      <c r="W25" s="370" t="n"/>
      <c r="X25" s="371" t="n"/>
      <c r="Y25" s="370" t="n"/>
      <c r="Z25" s="371" t="n"/>
      <c r="AA25" s="370" t="n"/>
      <c r="AB25" s="371" t="n"/>
      <c r="AC25" s="370" t="n"/>
      <c r="AD25" s="371" t="n"/>
      <c r="AE25" s="370" t="n"/>
      <c r="AF25" s="371" t="n"/>
      <c r="AG25" s="370" t="n"/>
      <c r="AH25" s="371" t="n"/>
      <c r="AI25" s="370" t="n"/>
      <c r="AJ25" s="371" t="n"/>
      <c r="AK25" s="370" t="n"/>
      <c r="AL25" s="371" t="n"/>
      <c r="AM25" s="370" t="n"/>
      <c r="AN25" s="371" t="n"/>
      <c r="AO25" s="370" t="n"/>
      <c r="AP25" s="371" t="n"/>
      <c r="AQ25" s="370" t="n"/>
      <c r="AR25" s="371" t="n"/>
      <c r="AS25" s="370" t="n"/>
      <c r="AT25" s="371" t="n"/>
      <c r="AU25" s="370" t="n"/>
      <c r="AV25" s="371" t="n"/>
      <c r="AW25" s="370" t="n"/>
      <c r="AX25" s="371" t="n"/>
      <c r="AY25" s="370" t="n"/>
      <c r="AZ25" s="371" t="n"/>
      <c r="BA25" s="370" t="n"/>
      <c r="BB25" s="371" t="n"/>
      <c r="BC25" s="370" t="n"/>
      <c r="BD25" s="371" t="n"/>
      <c r="BE25" s="370" t="n"/>
      <c r="BF25" s="371" t="n"/>
      <c r="BG25" s="370" t="n"/>
      <c r="BH25" s="371" t="n"/>
      <c r="BI25" s="370" t="n"/>
      <c r="BJ25" s="386" t="n"/>
      <c r="BK25" s="370" t="n"/>
      <c r="BL25" s="371" t="n"/>
      <c r="BM25" s="370" t="n"/>
      <c r="BN25" s="371" t="n"/>
      <c r="BO25" s="370" t="n"/>
      <c r="BP25" s="371" t="n"/>
      <c r="BQ25" s="370" t="n"/>
      <c r="BR25" s="371" t="n"/>
      <c r="BS25" s="373" t="n"/>
    </row>
    <row r="26" ht="17.25" customFormat="1" customHeight="1" s="4">
      <c r="B26" s="138" t="inlineStr">
        <is>
          <t>Car Insurance</t>
        </is>
      </c>
      <c r="C26" s="370" t="n"/>
      <c r="D26" s="139" t="n"/>
      <c r="F26" s="326" t="n"/>
      <c r="G26" s="327" t="n"/>
      <c r="I26" s="318" t="n"/>
      <c r="J26" s="369" t="n"/>
      <c r="K26" s="370" t="n"/>
      <c r="L26" s="371" t="n"/>
      <c r="M26" s="370" t="n"/>
      <c r="N26" s="371" t="n"/>
      <c r="O26" s="370" t="n"/>
      <c r="P26" s="371" t="n"/>
      <c r="Q26" s="370" t="n"/>
      <c r="R26" s="371" t="n"/>
      <c r="S26" s="370" t="n"/>
      <c r="T26" s="371" t="n"/>
      <c r="U26" s="370" t="n"/>
      <c r="V26" s="371" t="n"/>
      <c r="W26" s="370" t="n"/>
      <c r="X26" s="371" t="n"/>
      <c r="Y26" s="370" t="n"/>
      <c r="Z26" s="371" t="n"/>
      <c r="AA26" s="370" t="n"/>
      <c r="AB26" s="371" t="n"/>
      <c r="AC26" s="370" t="n"/>
      <c r="AD26" s="371" t="n"/>
      <c r="AE26" s="370" t="n"/>
      <c r="AF26" s="371" t="n"/>
      <c r="AG26" s="370" t="n"/>
      <c r="AH26" s="371" t="n"/>
      <c r="AI26" s="370" t="n"/>
      <c r="AJ26" s="371" t="n"/>
      <c r="AK26" s="370" t="n"/>
      <c r="AL26" s="371" t="n"/>
      <c r="AM26" s="370" t="n"/>
      <c r="AN26" s="371" t="n"/>
      <c r="AO26" s="370" t="n"/>
      <c r="AP26" s="371" t="n"/>
      <c r="AQ26" s="370" t="n"/>
      <c r="AR26" s="371" t="n"/>
      <c r="AS26" s="370" t="n"/>
      <c r="AT26" s="371" t="n"/>
      <c r="AU26" s="370" t="n"/>
      <c r="AV26" s="371" t="n"/>
      <c r="AW26" s="370" t="n"/>
      <c r="AX26" s="371" t="n"/>
      <c r="AY26" s="370" t="n"/>
      <c r="AZ26" s="371" t="n"/>
      <c r="BA26" s="370" t="n"/>
      <c r="BB26" s="371" t="n"/>
      <c r="BC26" s="370" t="n"/>
      <c r="BD26" s="371" t="n"/>
      <c r="BE26" s="370" t="n"/>
      <c r="BF26" s="371" t="n"/>
      <c r="BG26" s="370" t="n"/>
      <c r="BH26" s="371" t="n"/>
      <c r="BI26" s="370" t="n"/>
      <c r="BJ26" s="371" t="n"/>
      <c r="BK26" s="370" t="n"/>
      <c r="BL26" s="371" t="n"/>
      <c r="BM26" s="370" t="n"/>
      <c r="BN26" s="371" t="n"/>
      <c r="BO26" s="370" t="n"/>
      <c r="BP26" s="371" t="n"/>
      <c r="BQ26" s="370" t="n"/>
      <c r="BR26" s="371" t="n"/>
      <c r="BS26" s="373" t="n"/>
    </row>
    <row r="27" ht="17.25" customFormat="1" customHeight="1" s="4">
      <c r="B27" s="138" t="inlineStr">
        <is>
          <t>Property Tax</t>
        </is>
      </c>
      <c r="C27" s="370" t="n"/>
      <c r="D27" s="139" t="n"/>
      <c r="F27" s="328" t="n"/>
      <c r="G27" s="329" t="n"/>
      <c r="I27" s="312" t="n"/>
      <c r="J27" s="369" t="n"/>
      <c r="K27" s="370" t="n"/>
      <c r="L27" s="371" t="n"/>
      <c r="M27" s="370" t="n"/>
      <c r="N27" s="371" t="n"/>
      <c r="O27" s="370" t="n"/>
      <c r="P27" s="371" t="n"/>
      <c r="Q27" s="370" t="n"/>
      <c r="R27" s="371" t="n"/>
      <c r="S27" s="370" t="n"/>
      <c r="T27" s="371" t="n"/>
      <c r="U27" s="370" t="n"/>
      <c r="V27" s="371" t="n"/>
      <c r="W27" s="370" t="n"/>
      <c r="X27" s="371" t="n"/>
      <c r="Y27" s="370" t="n"/>
      <c r="Z27" s="371" t="n"/>
      <c r="AA27" s="370" t="n"/>
      <c r="AB27" s="371" t="n"/>
      <c r="AC27" s="370" t="n"/>
      <c r="AD27" s="371" t="n"/>
      <c r="AE27" s="370" t="n"/>
      <c r="AF27" s="371" t="n"/>
      <c r="AG27" s="370" t="n"/>
      <c r="AH27" s="371" t="n"/>
      <c r="AI27" s="370" t="n"/>
      <c r="AJ27" s="371" t="n"/>
      <c r="AK27" s="370" t="n"/>
      <c r="AL27" s="371" t="n"/>
      <c r="AM27" s="370" t="n"/>
      <c r="AN27" s="371" t="n"/>
      <c r="AO27" s="370" t="n"/>
      <c r="AP27" s="371" t="n"/>
      <c r="AQ27" s="370" t="n"/>
      <c r="AR27" s="371" t="n"/>
      <c r="AS27" s="370" t="n"/>
      <c r="AT27" s="371" t="n"/>
      <c r="AU27" s="370" t="n"/>
      <c r="AV27" s="371" t="n"/>
      <c r="AW27" s="370" t="n"/>
      <c r="AX27" s="371" t="n"/>
      <c r="AY27" s="370" t="n"/>
      <c r="AZ27" s="371" t="n"/>
      <c r="BA27" s="370" t="n"/>
      <c r="BB27" s="371" t="n"/>
      <c r="BC27" s="370" t="n"/>
      <c r="BD27" s="371" t="n"/>
      <c r="BE27" s="370" t="n"/>
      <c r="BF27" s="371" t="n"/>
      <c r="BG27" s="370" t="n"/>
      <c r="BH27" s="371" t="n"/>
      <c r="BI27" s="370" t="n"/>
      <c r="BJ27" s="371" t="n"/>
      <c r="BK27" s="370" t="n"/>
      <c r="BL27" s="371" t="n"/>
      <c r="BM27" s="370" t="n"/>
      <c r="BN27" s="371" t="n"/>
      <c r="BO27" s="370" t="n"/>
      <c r="BP27" s="371" t="n"/>
      <c r="BQ27" s="370" t="n"/>
      <c r="BR27" s="371" t="n"/>
      <c r="BS27" s="373" t="n"/>
    </row>
    <row r="28" ht="17.25" customFormat="1" customHeight="1" s="4">
      <c r="B28" s="138" t="inlineStr">
        <is>
          <t>Fuel / Maintenance</t>
        </is>
      </c>
      <c r="C28" s="374" t="n"/>
      <c r="D28" s="149" t="n"/>
      <c r="F28" s="328" t="n"/>
      <c r="G28" s="329" t="n"/>
      <c r="I28" s="150" t="inlineStr">
        <is>
          <t>Education &amp; Enrichment</t>
        </is>
      </c>
      <c r="J28" s="369" t="n"/>
      <c r="K28" s="370" t="n"/>
      <c r="L28" s="371" t="n"/>
      <c r="M28" s="370" t="n"/>
      <c r="N28" s="369" t="n"/>
      <c r="O28" s="370" t="n"/>
      <c r="P28" s="371" t="n"/>
      <c r="Q28" s="370" t="n"/>
      <c r="R28" s="371" t="n"/>
      <c r="S28" s="370" t="n"/>
      <c r="T28" s="371" t="n"/>
      <c r="U28" s="370" t="n"/>
      <c r="V28" s="371" t="n"/>
      <c r="W28" s="370" t="n"/>
      <c r="X28" s="371" t="n"/>
      <c r="Y28" s="370" t="n"/>
      <c r="Z28" s="371" t="n"/>
      <c r="AA28" s="370" t="n"/>
      <c r="AB28" s="371" t="n"/>
      <c r="AC28" s="370" t="n"/>
      <c r="AD28" s="371" t="n"/>
      <c r="AE28" s="370" t="n"/>
      <c r="AF28" s="371" t="n"/>
      <c r="AG28" s="370" t="n"/>
      <c r="AH28" s="371" t="n"/>
      <c r="AI28" s="370" t="n"/>
      <c r="AJ28" s="371" t="n"/>
      <c r="AK28" s="370" t="n"/>
      <c r="AL28" s="371" t="n"/>
      <c r="AM28" s="370" t="n"/>
      <c r="AN28" s="371" t="n"/>
      <c r="AO28" s="370" t="n"/>
      <c r="AP28" s="371" t="n"/>
      <c r="AQ28" s="370" t="n"/>
      <c r="AR28" s="371" t="n"/>
      <c r="AS28" s="370" t="n"/>
      <c r="AT28" s="371" t="n"/>
      <c r="AU28" s="370" t="n"/>
      <c r="AV28" s="371" t="n"/>
      <c r="AW28" s="370" t="n"/>
      <c r="AX28" s="371" t="n"/>
      <c r="AY28" s="370" t="n"/>
      <c r="AZ28" s="371" t="n"/>
      <c r="BA28" s="370" t="n"/>
      <c r="BB28" s="371" t="n"/>
      <c r="BC28" s="370" t="n"/>
      <c r="BD28" s="371" t="n"/>
      <c r="BE28" s="370" t="n"/>
      <c r="BF28" s="371" t="n"/>
      <c r="BG28" s="370" t="n"/>
      <c r="BH28" s="371" t="n"/>
      <c r="BI28" s="370" t="n"/>
      <c r="BJ28" s="371" t="n"/>
      <c r="BK28" s="370" t="n"/>
      <c r="BL28" s="371" t="n"/>
      <c r="BM28" s="370" t="n"/>
      <c r="BN28" s="371" t="n"/>
      <c r="BO28" s="370" t="n"/>
      <c r="BP28" s="371" t="n"/>
      <c r="BQ28" s="370" t="n"/>
      <c r="BR28" s="371" t="n"/>
      <c r="BS28" s="373" t="n"/>
    </row>
    <row r="29" ht="17.25" customFormat="1" customHeight="1" s="4">
      <c r="B29" s="138" t="inlineStr">
        <is>
          <t>Home Insurance</t>
        </is>
      </c>
      <c r="C29" s="370" t="n"/>
      <c r="D29" s="140" t="n"/>
      <c r="F29" s="328" t="n"/>
      <c r="G29" s="329" t="n"/>
      <c r="I29" s="152" t="inlineStr">
        <is>
          <t>Fuel</t>
        </is>
      </c>
      <c r="J29" s="369" t="n"/>
      <c r="K29" s="370" t="n"/>
      <c r="L29" s="371" t="n"/>
      <c r="M29" s="370" t="n"/>
      <c r="N29" s="371" t="n"/>
      <c r="O29" s="370" t="n"/>
      <c r="P29" s="391" t="n"/>
      <c r="Q29" s="370" t="n"/>
      <c r="R29" s="371" t="n"/>
      <c r="S29" s="370" t="n"/>
      <c r="T29" s="371" t="n"/>
      <c r="U29" s="370" t="n"/>
      <c r="V29" s="371" t="n"/>
      <c r="W29" s="370" t="n"/>
      <c r="X29" s="371" t="n"/>
      <c r="Y29" s="370" t="n"/>
      <c r="Z29" s="371" t="n"/>
      <c r="AA29" s="370" t="n"/>
      <c r="AB29" s="371" t="n"/>
      <c r="AC29" s="370" t="n"/>
      <c r="AD29" s="371" t="n"/>
      <c r="AE29" s="370" t="n"/>
      <c r="AF29" s="371" t="n"/>
      <c r="AG29" s="370" t="n"/>
      <c r="AH29" s="371" t="n"/>
      <c r="AI29" s="370" t="n"/>
      <c r="AJ29" s="371" t="n"/>
      <c r="AK29" s="370" t="n"/>
      <c r="AL29" s="371" t="n"/>
      <c r="AM29" s="370" t="n"/>
      <c r="AN29" s="371" t="n"/>
      <c r="AO29" s="370" t="n"/>
      <c r="AP29" s="371" t="n"/>
      <c r="AQ29" s="370" t="n"/>
      <c r="AR29" s="371" t="n"/>
      <c r="AS29" s="370" t="n"/>
      <c r="AT29" s="371" t="n"/>
      <c r="AU29" s="370" t="n"/>
      <c r="AV29" s="371" t="n"/>
      <c r="AW29" s="370" t="n"/>
      <c r="AX29" s="371" t="n"/>
      <c r="AY29" s="370" t="n"/>
      <c r="AZ29" s="371" t="n"/>
      <c r="BA29" s="370" t="n"/>
      <c r="BB29" s="371" t="n"/>
      <c r="BC29" s="370" t="n"/>
      <c r="BD29" s="371" t="n"/>
      <c r="BE29" s="370" t="n"/>
      <c r="BF29" s="371" t="n"/>
      <c r="BG29" s="370" t="n"/>
      <c r="BH29" s="371" t="n"/>
      <c r="BI29" s="370" t="n"/>
      <c r="BJ29" s="371" t="n"/>
      <c r="BK29" s="370" t="n"/>
      <c r="BL29" s="371" t="n"/>
      <c r="BM29" s="370" t="n"/>
      <c r="BN29" s="371" t="n"/>
      <c r="BO29" s="370" t="n"/>
      <c r="BP29" s="371" t="n"/>
      <c r="BQ29" s="370" t="n"/>
      <c r="BR29" s="371" t="n"/>
      <c r="BS29" s="373" t="n"/>
    </row>
    <row r="30" ht="17.25" customFormat="1" customHeight="1" s="4">
      <c r="B30" s="153" t="inlineStr">
        <is>
          <t>Car Loan Payment</t>
        </is>
      </c>
      <c r="C30" s="370" t="n"/>
      <c r="D30" s="140" t="n"/>
      <c r="F30" s="328" t="n"/>
      <c r="G30" s="329" t="n"/>
      <c r="I30" s="311" t="inlineStr">
        <is>
          <t>Clothing</t>
        </is>
      </c>
      <c r="J30" s="369" t="n"/>
      <c r="K30" s="370" t="n"/>
      <c r="L30" s="371" t="n"/>
      <c r="M30" s="370" t="n"/>
      <c r="N30" s="371" t="n"/>
      <c r="O30" s="370" t="n"/>
      <c r="P30" s="371" t="n"/>
      <c r="Q30" s="370" t="n"/>
      <c r="R30" s="371" t="n"/>
      <c r="S30" s="370" t="n"/>
      <c r="T30" s="371" t="n"/>
      <c r="U30" s="370" t="n"/>
      <c r="V30" s="371" t="n"/>
      <c r="W30" s="370" t="n"/>
      <c r="X30" s="371" t="n"/>
      <c r="Y30" s="370" t="n"/>
      <c r="Z30" s="371" t="n"/>
      <c r="AA30" s="370" t="n"/>
      <c r="AB30" s="371" t="n"/>
      <c r="AC30" s="370" t="n"/>
      <c r="AD30" s="371" t="n"/>
      <c r="AE30" s="370" t="n"/>
      <c r="AF30" s="371" t="n"/>
      <c r="AG30" s="370" t="n"/>
      <c r="AH30" s="371" t="n"/>
      <c r="AI30" s="370" t="n"/>
      <c r="AJ30" s="392" t="n"/>
      <c r="AK30" s="370" t="n"/>
      <c r="AL30" s="371" t="n"/>
      <c r="AM30" s="370" t="n"/>
      <c r="AN30" s="371" t="n"/>
      <c r="AO30" s="370" t="n"/>
      <c r="AP30" s="371" t="n"/>
      <c r="AQ30" s="370" t="n"/>
      <c r="AR30" s="372" t="n"/>
      <c r="AS30" s="370" t="n"/>
      <c r="AT30" s="372" t="n"/>
      <c r="AU30" s="370" t="n"/>
      <c r="AV30" s="371" t="n"/>
      <c r="AW30" s="370" t="n"/>
      <c r="AX30" s="371" t="n"/>
      <c r="AY30" s="370" t="n"/>
      <c r="AZ30" s="371" t="n"/>
      <c r="BA30" s="370" t="n"/>
      <c r="BB30" s="371" t="n"/>
      <c r="BC30" s="370" t="n"/>
      <c r="BD30" s="371" t="n"/>
      <c r="BE30" s="370" t="n"/>
      <c r="BF30" s="371" t="n"/>
      <c r="BG30" s="370" t="n"/>
      <c r="BH30" s="371" t="n"/>
      <c r="BI30" s="370" t="n"/>
      <c r="BJ30" s="371" t="n"/>
      <c r="BK30" s="370" t="n"/>
      <c r="BL30" s="371" t="n"/>
      <c r="BM30" s="370" t="n"/>
      <c r="BN30" s="371" t="n"/>
      <c r="BO30" s="370" t="n"/>
      <c r="BP30" s="372" t="n"/>
      <c r="BQ30" s="370" t="n"/>
      <c r="BR30" s="371" t="n"/>
      <c r="BS30" s="373" t="n"/>
    </row>
    <row r="31" ht="17.25" customFormat="1" customHeight="1" s="4">
      <c r="B31" s="153" t="inlineStr">
        <is>
          <t>Housing Management Fee</t>
        </is>
      </c>
      <c r="C31" s="370" t="n"/>
      <c r="D31" s="149" t="n"/>
      <c r="F31" s="328" t="n"/>
      <c r="G31" s="329" t="n"/>
      <c r="I31" s="312" t="n"/>
      <c r="J31" s="369" t="n"/>
      <c r="K31" s="370" t="n"/>
      <c r="L31" s="371" t="n"/>
      <c r="M31" s="370" t="n"/>
      <c r="N31" s="371" t="n"/>
      <c r="O31" s="370" t="n"/>
      <c r="P31" s="371" t="n"/>
      <c r="Q31" s="370" t="n"/>
      <c r="R31" s="371" t="n"/>
      <c r="S31" s="370" t="n"/>
      <c r="T31" s="371" t="n"/>
      <c r="U31" s="370" t="n"/>
      <c r="V31" s="371" t="n"/>
      <c r="W31" s="370" t="n"/>
      <c r="X31" s="371" t="n"/>
      <c r="Y31" s="370" t="n"/>
      <c r="Z31" s="371" t="n"/>
      <c r="AA31" s="370" t="n"/>
      <c r="AB31" s="371" t="n"/>
      <c r="AC31" s="370" t="n"/>
      <c r="AD31" s="371" t="n"/>
      <c r="AE31" s="370" t="n"/>
      <c r="AF31" s="371" t="n"/>
      <c r="AG31" s="370" t="n"/>
      <c r="AH31" s="371" t="n"/>
      <c r="AI31" s="370" t="n"/>
      <c r="AJ31" s="371" t="n"/>
      <c r="AK31" s="370" t="n"/>
      <c r="AL31" s="371" t="n"/>
      <c r="AM31" s="370" t="n"/>
      <c r="AN31" s="371" t="n"/>
      <c r="AO31" s="370" t="n"/>
      <c r="AP31" s="371" t="n"/>
      <c r="AQ31" s="370" t="n"/>
      <c r="AR31" s="371" t="n"/>
      <c r="AS31" s="370" t="n"/>
      <c r="AT31" s="371" t="n"/>
      <c r="AU31" s="370" t="n"/>
      <c r="AV31" s="371" t="n"/>
      <c r="AW31" s="370" t="n"/>
      <c r="AX31" s="371" t="n"/>
      <c r="AY31" s="370" t="n"/>
      <c r="AZ31" s="371" t="n"/>
      <c r="BA31" s="370" t="n"/>
      <c r="BB31" s="371" t="n"/>
      <c r="BC31" s="370" t="n"/>
      <c r="BD31" s="371" t="n"/>
      <c r="BE31" s="370" t="n"/>
      <c r="BF31" s="371" t="n"/>
      <c r="BG31" s="370" t="n"/>
      <c r="BH31" s="371" t="n"/>
      <c r="BI31" s="370" t="n"/>
      <c r="BJ31" s="371" t="n"/>
      <c r="BK31" s="370" t="n"/>
      <c r="BL31" s="371" t="n"/>
      <c r="BM31" s="370" t="n"/>
      <c r="BN31" s="371" t="n"/>
      <c r="BO31" s="370" t="n"/>
      <c r="BP31" s="372" t="n"/>
      <c r="BQ31" s="370" t="n"/>
      <c r="BR31" s="371" t="n"/>
      <c r="BS31" s="373" t="n"/>
    </row>
    <row r="32" ht="17.25" customFormat="1" customHeight="1" s="4">
      <c r="B32" s="138" t="inlineStr">
        <is>
          <t>Term Deposit</t>
        </is>
      </c>
      <c r="C32" s="370" t="n"/>
      <c r="D32" s="149" t="n"/>
      <c r="F32" s="328" t="n"/>
      <c r="G32" s="329" t="n"/>
      <c r="I32" s="155" t="inlineStr">
        <is>
          <t>Medical</t>
        </is>
      </c>
      <c r="J32" s="369" t="n"/>
      <c r="K32" s="370" t="n"/>
      <c r="L32" s="371" t="n"/>
      <c r="M32" s="370" t="n"/>
      <c r="N32" s="371" t="n"/>
      <c r="O32" s="370" t="n"/>
      <c r="P32" s="371" t="n"/>
      <c r="Q32" s="370" t="n"/>
      <c r="R32" s="371" t="n"/>
      <c r="S32" s="370" t="n"/>
      <c r="T32" s="371" t="n"/>
      <c r="U32" s="370" t="n"/>
      <c r="V32" s="371" t="n"/>
      <c r="W32" s="370" t="n"/>
      <c r="X32" s="371" t="n"/>
      <c r="Y32" s="370" t="n"/>
      <c r="Z32" s="372" t="n"/>
      <c r="AA32" s="370" t="n"/>
      <c r="AB32" s="371" t="n"/>
      <c r="AC32" s="370" t="n"/>
      <c r="AD32" s="371" t="n"/>
      <c r="AE32" s="370" t="n"/>
      <c r="AF32" s="371" t="n"/>
      <c r="AG32" s="370" t="n"/>
      <c r="AH32" s="371" t="n"/>
      <c r="AI32" s="370" t="n"/>
      <c r="AJ32" s="371" t="n"/>
      <c r="AK32" s="370" t="n"/>
      <c r="AL32" s="371" t="n"/>
      <c r="AM32" s="370" t="n"/>
      <c r="AN32" s="371" t="n"/>
      <c r="AO32" s="370" t="n"/>
      <c r="AP32" s="371" t="n"/>
      <c r="AQ32" s="370" t="n"/>
      <c r="AR32" s="371" t="n"/>
      <c r="AS32" s="370" t="n"/>
      <c r="AT32" s="371" t="n"/>
      <c r="AU32" s="370" t="n"/>
      <c r="AV32" s="371" t="n"/>
      <c r="AW32" s="370" t="n"/>
      <c r="AX32" s="371" t="n"/>
      <c r="AY32" s="370" t="n"/>
      <c r="AZ32" s="371" t="n"/>
      <c r="BA32" s="370" t="n"/>
      <c r="BB32" s="371" t="n"/>
      <c r="BC32" s="370" t="n"/>
      <c r="BD32" s="371" t="n"/>
      <c r="BE32" s="370" t="n"/>
      <c r="BF32" s="371" t="n"/>
      <c r="BG32" s="370" t="n"/>
      <c r="BH32" s="371" t="n"/>
      <c r="BI32" s="370" t="n"/>
      <c r="BJ32" s="371" t="n"/>
      <c r="BK32" s="370" t="n"/>
      <c r="BL32" s="371" t="n"/>
      <c r="BM32" s="370" t="n"/>
      <c r="BN32" s="371" t="n"/>
      <c r="BO32" s="370" t="n"/>
      <c r="BP32" s="371" t="n"/>
      <c r="BQ32" s="370" t="n"/>
      <c r="BR32" s="371" t="n"/>
      <c r="BS32" s="373" t="n"/>
    </row>
    <row r="33" ht="17.25" customFormat="1" customHeight="1" s="4">
      <c r="B33" s="138" t="inlineStr">
        <is>
          <t>Pocket Money</t>
        </is>
      </c>
      <c r="C33" s="370" t="n"/>
      <c r="D33" s="149" t="n"/>
      <c r="F33" s="328" t="n"/>
      <c r="G33" s="329" t="n"/>
      <c r="I33" s="156" t="inlineStr">
        <is>
          <t>Hair &amp; Cosmetics</t>
        </is>
      </c>
      <c r="J33" s="369" t="n"/>
      <c r="K33" s="370" t="n"/>
      <c r="L33" s="371" t="n"/>
      <c r="M33" s="370" t="n"/>
      <c r="N33" s="371" t="n"/>
      <c r="O33" s="370" t="n"/>
      <c r="P33" s="371" t="n"/>
      <c r="Q33" s="370" t="n"/>
      <c r="R33" s="371" t="n"/>
      <c r="S33" s="370" t="n"/>
      <c r="T33" s="371" t="n"/>
      <c r="U33" s="370" t="n"/>
      <c r="V33" s="371" t="n"/>
      <c r="W33" s="370" t="n"/>
      <c r="X33" s="371" t="n"/>
      <c r="Y33" s="370" t="n"/>
      <c r="Z33" s="371" t="n"/>
      <c r="AA33" s="370" t="n"/>
      <c r="AB33" s="371" t="n"/>
      <c r="AC33" s="370" t="n"/>
      <c r="AD33" s="371" t="n"/>
      <c r="AE33" s="370" t="n"/>
      <c r="AF33" s="371" t="n"/>
      <c r="AG33" s="370" t="n"/>
      <c r="AH33" s="371" t="n"/>
      <c r="AI33" s="370" t="n"/>
      <c r="AJ33" s="392" t="n"/>
      <c r="AK33" s="370" t="n"/>
      <c r="AL33" s="392" t="n"/>
      <c r="AM33" s="370" t="n"/>
      <c r="AN33" s="371" t="n"/>
      <c r="AO33" s="370" t="n"/>
      <c r="AP33" s="371" t="n"/>
      <c r="AQ33" s="370" t="n"/>
      <c r="AR33" s="371" t="n"/>
      <c r="AS33" s="370" t="n"/>
      <c r="AT33" s="371" t="n"/>
      <c r="AU33" s="370" t="n"/>
      <c r="AV33" s="371" t="n"/>
      <c r="AW33" s="370" t="n"/>
      <c r="AX33" s="371" t="n"/>
      <c r="AY33" s="370" t="n"/>
      <c r="AZ33" s="371" t="n"/>
      <c r="BA33" s="370" t="n"/>
      <c r="BB33" s="371" t="n"/>
      <c r="BC33" s="370" t="n"/>
      <c r="BD33" s="371" t="n"/>
      <c r="BE33" s="370" t="n"/>
      <c r="BF33" s="371" t="n"/>
      <c r="BG33" s="370" t="n"/>
      <c r="BH33" s="371" t="n"/>
      <c r="BI33" s="370" t="n"/>
      <c r="BJ33" s="371" t="n"/>
      <c r="BK33" s="370" t="n"/>
      <c r="BL33" s="371" t="n"/>
      <c r="BM33" s="370" t="n"/>
      <c r="BN33" s="371" t="n"/>
      <c r="BO33" s="370" t="n"/>
      <c r="BP33" s="371" t="n"/>
      <c r="BQ33" s="370" t="n"/>
      <c r="BR33" s="371" t="n"/>
      <c r="BS33" s="373" t="n"/>
    </row>
    <row r="34" ht="17.25" customFormat="1" customHeight="1" s="4">
      <c r="B34" s="138" t="inlineStr">
        <is>
          <t>Savings</t>
        </is>
      </c>
      <c r="C34" s="370" t="n"/>
      <c r="D34" s="149" t="n"/>
      <c r="F34" s="328" t="n"/>
      <c r="G34" s="329" t="n"/>
      <c r="I34" s="157" t="inlineStr">
        <is>
          <t>Transportation</t>
        </is>
      </c>
      <c r="J34" s="369" t="n"/>
      <c r="K34" s="370" t="n"/>
      <c r="L34" s="371" t="n"/>
      <c r="M34" s="370" t="n"/>
      <c r="N34" s="392" t="n"/>
      <c r="O34" s="370" t="n"/>
      <c r="P34" s="392" t="n"/>
      <c r="Q34" s="370" t="n"/>
      <c r="R34" s="371" t="n"/>
      <c r="S34" s="370" t="n"/>
      <c r="T34" s="371" t="n"/>
      <c r="U34" s="370" t="n"/>
      <c r="V34" s="371" t="n"/>
      <c r="W34" s="370" t="n"/>
      <c r="X34" s="371" t="n"/>
      <c r="Y34" s="370" t="n"/>
      <c r="Z34" s="371" t="n"/>
      <c r="AA34" s="370" t="n"/>
      <c r="AB34" s="371" t="n"/>
      <c r="AC34" s="370" t="n"/>
      <c r="AD34" s="371" t="n"/>
      <c r="AE34" s="370" t="n"/>
      <c r="AF34" s="371" t="n"/>
      <c r="AG34" s="370" t="n"/>
      <c r="AH34" s="371" t="n"/>
      <c r="AI34" s="370" t="n"/>
      <c r="AJ34" s="371" t="n"/>
      <c r="AK34" s="370" t="n"/>
      <c r="AL34" s="392" t="n"/>
      <c r="AM34" s="370" t="n"/>
      <c r="AN34" s="371" t="n"/>
      <c r="AO34" s="370" t="n"/>
      <c r="AP34" s="371" t="n"/>
      <c r="AQ34" s="370" t="n"/>
      <c r="AR34" s="371" t="n"/>
      <c r="AS34" s="370" t="n"/>
      <c r="AT34" s="371" t="n"/>
      <c r="AU34" s="370" t="n"/>
      <c r="AV34" s="371" t="n"/>
      <c r="AW34" s="370" t="n"/>
      <c r="AX34" s="371" t="n"/>
      <c r="AY34" s="370" t="n"/>
      <c r="AZ34" s="371" t="n"/>
      <c r="BA34" s="370" t="n"/>
      <c r="BB34" s="371" t="n"/>
      <c r="BC34" s="370" t="n"/>
      <c r="BD34" s="371" t="n"/>
      <c r="BE34" s="370" t="n"/>
      <c r="BF34" s="371" t="n"/>
      <c r="BG34" s="370" t="n"/>
      <c r="BH34" s="371" t="n"/>
      <c r="BI34" s="371" t="n"/>
      <c r="BJ34" s="371" t="n"/>
      <c r="BK34" s="370" t="n"/>
      <c r="BL34" s="371" t="n"/>
      <c r="BM34" s="370" t="n"/>
      <c r="BN34" s="371" t="n"/>
      <c r="BO34" s="370" t="n"/>
      <c r="BP34" s="371" t="n"/>
      <c r="BQ34" s="370" t="n"/>
      <c r="BR34" s="371" t="n"/>
      <c r="BS34" s="373" t="n"/>
    </row>
    <row r="35" ht="17.25" customFormat="1" customHeight="1" s="4">
      <c r="B35" s="153" t="n"/>
      <c r="C35" s="158" t="n"/>
      <c r="D35" s="149" t="n"/>
      <c r="F35" s="328" t="n"/>
      <c r="G35" s="329" t="n"/>
      <c r="I35" s="157" t="inlineStr">
        <is>
          <t>Entertainment</t>
        </is>
      </c>
      <c r="J35" s="369" t="n"/>
      <c r="K35" s="370" t="n"/>
      <c r="L35" s="371" t="n"/>
      <c r="M35" s="370" t="n"/>
      <c r="N35" s="371" t="n"/>
      <c r="O35" s="370" t="n"/>
      <c r="P35" s="371" t="n"/>
      <c r="Q35" s="370" t="n"/>
      <c r="R35" s="371" t="n"/>
      <c r="S35" s="370" t="n"/>
      <c r="T35" s="371" t="n"/>
      <c r="U35" s="370" t="n"/>
      <c r="V35" s="371" t="n"/>
      <c r="W35" s="370" t="n"/>
      <c r="X35" s="371" t="n"/>
      <c r="Y35" s="370" t="n"/>
      <c r="Z35" s="371" t="n"/>
      <c r="AA35" s="370" t="n"/>
      <c r="AB35" s="371" t="n"/>
      <c r="AC35" s="370" t="n"/>
      <c r="AD35" s="371" t="n"/>
      <c r="AE35" s="370" t="n"/>
      <c r="AF35" s="371" t="n"/>
      <c r="AG35" s="370" t="n"/>
      <c r="AH35" s="371" t="n"/>
      <c r="AI35" s="370" t="n"/>
      <c r="AJ35" s="371" t="n"/>
      <c r="AK35" s="370" t="n"/>
      <c r="AL35" s="371" t="n"/>
      <c r="AM35" s="370" t="n"/>
      <c r="AN35" s="371" t="n"/>
      <c r="AO35" s="370" t="n"/>
      <c r="AP35" s="371" t="n"/>
      <c r="AQ35" s="370" t="n"/>
      <c r="AR35" s="371" t="n"/>
      <c r="AS35" s="370" t="n"/>
      <c r="AT35" s="371" t="n"/>
      <c r="AU35" s="370" t="n"/>
      <c r="AV35" s="371" t="n"/>
      <c r="AW35" s="370" t="n"/>
      <c r="AX35" s="371" t="n"/>
      <c r="AY35" s="370" t="n"/>
      <c r="AZ35" s="371" t="n"/>
      <c r="BA35" s="370" t="n"/>
      <c r="BB35" s="371" t="n"/>
      <c r="BC35" s="370" t="n"/>
      <c r="BD35" s="371" t="n"/>
      <c r="BE35" s="370" t="n"/>
      <c r="BF35" s="371" t="n"/>
      <c r="BG35" s="370" t="n"/>
      <c r="BH35" s="371" t="n"/>
      <c r="BI35" s="370" t="n"/>
      <c r="BJ35" s="371" t="n"/>
      <c r="BK35" s="370" t="n"/>
      <c r="BL35" s="371" t="n"/>
      <c r="BM35" s="370" t="n"/>
      <c r="BN35" s="371" t="n"/>
      <c r="BO35" s="370" t="n"/>
      <c r="BP35" s="371" t="n"/>
      <c r="BQ35" s="370" t="n"/>
      <c r="BR35" s="371" t="n"/>
      <c r="BS35" s="373" t="n"/>
    </row>
    <row r="36" ht="17.25" customFormat="1" customHeight="1" s="4">
      <c r="B36" s="153" t="n"/>
      <c r="C36" s="158" t="n"/>
      <c r="D36" s="149" t="n"/>
      <c r="F36" s="328" t="n"/>
      <c r="G36" s="329" t="n"/>
      <c r="I36" s="157" t="inlineStr">
        <is>
          <t>Gifts &amp; Social</t>
        </is>
      </c>
      <c r="J36" s="369" t="n"/>
      <c r="K36" s="370" t="n"/>
      <c r="L36" s="371" t="n"/>
      <c r="M36" s="370" t="n"/>
      <c r="N36" s="371" t="n"/>
      <c r="O36" s="370" t="n"/>
      <c r="P36" s="371" t="n"/>
      <c r="Q36" s="370" t="n"/>
      <c r="R36" s="371" t="n"/>
      <c r="S36" s="370" t="n"/>
      <c r="T36" s="371" t="n"/>
      <c r="U36" s="370" t="n"/>
      <c r="V36" s="371" t="n"/>
      <c r="W36" s="370" t="n"/>
      <c r="X36" s="371" t="n"/>
      <c r="Y36" s="370" t="n"/>
      <c r="Z36" s="372" t="n"/>
      <c r="AA36" s="370" t="n"/>
      <c r="AB36" s="371" t="n"/>
      <c r="AC36" s="370" t="n"/>
      <c r="AD36" s="392" t="n"/>
      <c r="AE36" s="370" t="n"/>
      <c r="AF36" s="371" t="n"/>
      <c r="AG36" s="370" t="n"/>
      <c r="AH36" s="371" t="n"/>
      <c r="AI36" s="370" t="n"/>
      <c r="AJ36" s="371" t="n"/>
      <c r="AK36" s="370" t="n"/>
      <c r="AL36" s="371" t="n"/>
      <c r="AM36" s="370" t="n"/>
      <c r="AN36" s="371" t="n"/>
      <c r="AO36" s="370" t="n"/>
      <c r="AP36" s="371" t="n"/>
      <c r="AQ36" s="370" t="n"/>
      <c r="AR36" s="371" t="n"/>
      <c r="AS36" s="370" t="n"/>
      <c r="AT36" s="371" t="n"/>
      <c r="AU36" s="370" t="n"/>
      <c r="AV36" s="371" t="n"/>
      <c r="AW36" s="370" t="n"/>
      <c r="AX36" s="372" t="n"/>
      <c r="AY36" s="370" t="n"/>
      <c r="AZ36" s="371" t="n"/>
      <c r="BA36" s="370" t="n"/>
      <c r="BB36" s="371" t="n"/>
      <c r="BC36" s="370" t="n"/>
      <c r="BD36" s="371" t="n"/>
      <c r="BE36" s="370" t="n"/>
      <c r="BF36" s="371" t="n"/>
      <c r="BG36" s="370" t="n"/>
      <c r="BH36" s="371" t="n"/>
      <c r="BI36" s="370" t="n"/>
      <c r="BJ36" s="371" t="n"/>
      <c r="BK36" s="370" t="n"/>
      <c r="BL36" s="371" t="n"/>
      <c r="BM36" s="370" t="n"/>
      <c r="BN36" s="371" t="n"/>
      <c r="BO36" s="370" t="n"/>
      <c r="BP36" s="371" t="n"/>
      <c r="BQ36" s="370" t="n"/>
      <c r="BR36" s="371" t="n"/>
      <c r="BS36" s="373" t="n"/>
    </row>
    <row r="37" ht="17.25" customFormat="1" customHeight="1" s="4">
      <c r="B37" s="153" t="n"/>
      <c r="C37" s="158" t="n"/>
      <c r="D37" s="149" t="n"/>
      <c r="F37" s="328" t="n"/>
      <c r="G37" s="329" t="n"/>
      <c r="I37" s="141" t="inlineStr">
        <is>
          <t>Other</t>
        </is>
      </c>
      <c r="J37" s="369" t="n"/>
      <c r="K37" s="370" t="n"/>
      <c r="L37" s="371" t="n"/>
      <c r="M37" s="370" t="n"/>
      <c r="N37" s="369" t="n"/>
      <c r="O37" s="370" t="n"/>
      <c r="P37" s="371" t="n"/>
      <c r="Q37" s="370" t="n"/>
      <c r="R37" s="371" t="n"/>
      <c r="S37" s="370" t="n"/>
      <c r="T37" s="371" t="n"/>
      <c r="U37" s="370" t="n"/>
      <c r="V37" s="371" t="n"/>
      <c r="W37" s="370" t="n"/>
      <c r="X37" s="371" t="n"/>
      <c r="Y37" s="370" t="n"/>
      <c r="Z37" s="371" t="n"/>
      <c r="AA37" s="370" t="n"/>
      <c r="AB37" s="371" t="n"/>
      <c r="AC37" s="370" t="n"/>
      <c r="AD37" s="371" t="n"/>
      <c r="AE37" s="370" t="n"/>
      <c r="AF37" s="372" t="n"/>
      <c r="AG37" s="370" t="n"/>
      <c r="AH37" s="371" t="n"/>
      <c r="AI37" s="370" t="n"/>
      <c r="AJ37" s="372" t="n"/>
      <c r="AK37" s="370" t="n"/>
      <c r="AL37" s="371" t="n"/>
      <c r="AM37" s="370" t="n"/>
      <c r="AN37" s="371" t="n"/>
      <c r="AO37" s="370" t="n"/>
      <c r="AP37" s="371" t="n"/>
      <c r="AQ37" s="370" t="n"/>
      <c r="AR37" s="371" t="n"/>
      <c r="AS37" s="370" t="n"/>
      <c r="AT37" s="371" t="n"/>
      <c r="AU37" s="370" t="n"/>
      <c r="AV37" s="371" t="n"/>
      <c r="AW37" s="370" t="n"/>
      <c r="AX37" s="371" t="n"/>
      <c r="AY37" s="370" t="n"/>
      <c r="AZ37" s="371" t="n"/>
      <c r="BA37" s="370" t="n"/>
      <c r="BB37" s="371" t="n"/>
      <c r="BC37" s="370" t="n"/>
      <c r="BD37" s="371" t="n"/>
      <c r="BE37" s="370" t="n"/>
      <c r="BF37" s="371" t="n"/>
      <c r="BG37" s="370" t="n"/>
      <c r="BH37" s="371" t="n"/>
      <c r="BI37" s="370" t="n"/>
      <c r="BJ37" s="371" t="n"/>
      <c r="BK37" s="370" t="n"/>
      <c r="BL37" s="394" t="n"/>
      <c r="BM37" s="370" t="n"/>
      <c r="BN37" s="371" t="n"/>
      <c r="BO37" s="370" t="n"/>
      <c r="BP37" s="371" t="n"/>
      <c r="BQ37" s="370" t="n"/>
      <c r="BR37" s="371" t="n"/>
      <c r="BS37" s="373" t="n"/>
    </row>
    <row r="38" ht="17.25" customFormat="1" customHeight="1" s="4" thickBot="1">
      <c r="B38" s="153" t="n"/>
      <c r="C38" s="158" t="n"/>
      <c r="D38" s="149" t="n"/>
      <c r="F38" s="328" t="n"/>
      <c r="G38" s="329" t="n"/>
      <c r="I38" s="141" t="n"/>
      <c r="J38" s="369" t="n"/>
      <c r="K38" s="370" t="n"/>
      <c r="L38" s="371" t="n"/>
      <c r="M38" s="370" t="n"/>
      <c r="N38" s="393" t="n"/>
      <c r="O38" s="370" t="n"/>
      <c r="P38" s="371" t="n"/>
      <c r="Q38" s="370" t="n"/>
      <c r="R38" s="371" t="n"/>
      <c r="S38" s="370" t="n"/>
      <c r="T38" s="371" t="n"/>
      <c r="U38" s="370" t="n"/>
      <c r="V38" s="371" t="n"/>
      <c r="W38" s="370" t="n"/>
      <c r="X38" s="371" t="n"/>
      <c r="Y38" s="370" t="n"/>
      <c r="Z38" s="371" t="n"/>
      <c r="AA38" s="370" t="n"/>
      <c r="AB38" s="371" t="n"/>
      <c r="AC38" s="370" t="n"/>
      <c r="AD38" s="371" t="n"/>
      <c r="AE38" s="370" t="n"/>
      <c r="AF38" s="371" t="n"/>
      <c r="AG38" s="370" t="n"/>
      <c r="AH38" s="371" t="n"/>
      <c r="AI38" s="370" t="n"/>
      <c r="AJ38" s="371" t="n"/>
      <c r="AK38" s="370" t="n"/>
      <c r="AL38" s="371" t="n"/>
      <c r="AM38" s="370" t="n"/>
      <c r="AN38" s="371" t="n"/>
      <c r="AO38" s="370" t="n"/>
      <c r="AP38" s="371" t="n"/>
      <c r="AQ38" s="370" t="n"/>
      <c r="AR38" s="371" t="n"/>
      <c r="AS38" s="370" t="n"/>
      <c r="AT38" s="372" t="n"/>
      <c r="AU38" s="370" t="n"/>
      <c r="AV38" s="372" t="n"/>
      <c r="AW38" s="370" t="n"/>
      <c r="AX38" s="371" t="n"/>
      <c r="AY38" s="370" t="n"/>
      <c r="AZ38" s="371" t="n"/>
      <c r="BA38" s="370" t="n"/>
      <c r="BB38" s="371" t="n"/>
      <c r="BC38" s="370" t="n"/>
      <c r="BD38" s="371" t="n"/>
      <c r="BE38" s="370" t="n"/>
      <c r="BF38" s="371" t="n"/>
      <c r="BG38" s="370" t="n"/>
      <c r="BH38" s="371" t="n"/>
      <c r="BI38" s="370" t="n"/>
      <c r="BJ38" s="371" t="n"/>
      <c r="BK38" s="370" t="n"/>
      <c r="BL38" s="394" t="n"/>
      <c r="BM38" s="370" t="n"/>
      <c r="BN38" s="371" t="n"/>
      <c r="BO38" s="370" t="n"/>
      <c r="BP38" s="371" t="n"/>
      <c r="BQ38" s="370" t="n"/>
      <c r="BR38" s="371" t="n"/>
      <c r="BS38" s="373" t="n"/>
    </row>
    <row r="39" ht="17.25" customFormat="1" customHeight="1" s="4" thickBot="1" thickTop="1">
      <c r="B39" s="161" t="inlineStr">
        <is>
          <t>Total Fixed Expenses</t>
        </is>
      </c>
      <c r="C39" s="382">
        <f>SUM(C18:C38)</f>
        <v/>
      </c>
      <c r="D39" s="162" t="n"/>
      <c r="F39" s="330" t="n"/>
      <c r="G39" s="331" t="n"/>
      <c r="I39" s="141" t="n"/>
      <c r="J39" s="369" t="n"/>
      <c r="K39" s="370" t="n"/>
      <c r="L39" s="371" t="n"/>
      <c r="M39" s="370" t="n"/>
      <c r="N39" s="369" t="n"/>
      <c r="O39" s="370" t="n"/>
      <c r="P39" s="371" t="n"/>
      <c r="Q39" s="370" t="n"/>
      <c r="R39" s="371" t="n"/>
      <c r="S39" s="370" t="n"/>
      <c r="T39" s="371" t="n"/>
      <c r="U39" s="370" t="n"/>
      <c r="V39" s="371" t="n"/>
      <c r="W39" s="370" t="n"/>
      <c r="X39" s="371" t="n"/>
      <c r="Y39" s="370" t="n"/>
      <c r="Z39" s="371" t="n"/>
      <c r="AA39" s="370" t="n"/>
      <c r="AB39" s="371" t="n"/>
      <c r="AC39" s="370" t="n"/>
      <c r="AD39" s="371" t="n"/>
      <c r="AE39" s="370" t="n"/>
      <c r="AF39" s="371" t="n"/>
      <c r="AG39" s="370" t="n"/>
      <c r="AH39" s="371" t="n"/>
      <c r="AI39" s="370" t="n"/>
      <c r="AJ39" s="371" t="n"/>
      <c r="AK39" s="370" t="n"/>
      <c r="AL39" s="371" t="n"/>
      <c r="AM39" s="370" t="n"/>
      <c r="AN39" s="371" t="n"/>
      <c r="AO39" s="370" t="n"/>
      <c r="AP39" s="371" t="n"/>
      <c r="AQ39" s="370" t="n"/>
      <c r="AR39" s="371" t="n"/>
      <c r="AS39" s="370" t="n"/>
      <c r="AT39" s="372" t="n"/>
      <c r="AU39" s="370" t="n"/>
      <c r="AV39" s="372" t="n"/>
      <c r="AW39" s="370" t="n"/>
      <c r="AX39" s="371" t="n"/>
      <c r="AY39" s="370" t="n"/>
      <c r="AZ39" s="371" t="n"/>
      <c r="BA39" s="370" t="n"/>
      <c r="BB39" s="371" t="n"/>
      <c r="BC39" s="370" t="n"/>
      <c r="BD39" s="371" t="n"/>
      <c r="BE39" s="370" t="n"/>
      <c r="BF39" s="371" t="n"/>
      <c r="BG39" s="370" t="n"/>
      <c r="BH39" s="371" t="n"/>
      <c r="BI39" s="370" t="n"/>
      <c r="BJ39" s="371" t="n"/>
      <c r="BK39" s="370" t="n"/>
      <c r="BL39" s="394" t="n"/>
      <c r="BM39" s="370" t="n"/>
      <c r="BN39" s="371" t="n"/>
      <c r="BO39" s="370" t="n"/>
      <c r="BP39" s="371" t="n"/>
      <c r="BQ39" s="370" t="n"/>
      <c r="BR39" s="371" t="n"/>
      <c r="BS39" s="373" t="n"/>
    </row>
    <row r="40" ht="17.25" customFormat="1" customHeight="1" s="4">
      <c r="I40" s="141" t="n"/>
      <c r="J40" s="369" t="n"/>
      <c r="K40" s="370" t="n"/>
      <c r="L40" s="396" t="n"/>
      <c r="M40" s="397" t="n"/>
      <c r="N40" s="369" t="n"/>
      <c r="O40" s="397" t="n"/>
      <c r="P40" s="396" t="n"/>
      <c r="Q40" s="397" t="n"/>
      <c r="R40" s="396" t="n"/>
      <c r="S40" s="397" t="n"/>
      <c r="T40" s="396" t="n"/>
      <c r="U40" s="397" t="n"/>
      <c r="V40" s="396" t="n"/>
      <c r="W40" s="397" t="n"/>
      <c r="X40" s="396" t="n"/>
      <c r="Y40" s="397" t="n"/>
      <c r="Z40" s="396" t="n"/>
      <c r="AA40" s="397" t="n"/>
      <c r="AB40" s="396" t="n"/>
      <c r="AC40" s="397" t="n"/>
      <c r="AD40" s="396" t="n"/>
      <c r="AE40" s="397" t="n"/>
      <c r="AF40" s="396" t="n"/>
      <c r="AG40" s="397" t="n"/>
      <c r="AH40" s="396" t="n"/>
      <c r="AI40" s="397" t="n"/>
      <c r="AJ40" s="396" t="n"/>
      <c r="AK40" s="397" t="n"/>
      <c r="AL40" s="396" t="n"/>
      <c r="AM40" s="397" t="n"/>
      <c r="AN40" s="396" t="n"/>
      <c r="AO40" s="397" t="n"/>
      <c r="AP40" s="396" t="n"/>
      <c r="AQ40" s="397" t="n"/>
      <c r="AR40" s="396" t="n"/>
      <c r="AS40" s="397" t="n"/>
      <c r="AT40" s="396" t="n"/>
      <c r="AU40" s="397" t="n"/>
      <c r="AV40" s="396" t="n"/>
      <c r="AW40" s="397" t="n"/>
      <c r="AX40" s="396" t="n"/>
      <c r="AY40" s="397" t="n"/>
      <c r="AZ40" s="396" t="n"/>
      <c r="BA40" s="397" t="n"/>
      <c r="BB40" s="396" t="n"/>
      <c r="BC40" s="397" t="n"/>
      <c r="BD40" s="396" t="n"/>
      <c r="BE40" s="397" t="n"/>
      <c r="BF40" s="396" t="n"/>
      <c r="BG40" s="397" t="n"/>
      <c r="BH40" s="396" t="n"/>
      <c r="BI40" s="397" t="n"/>
      <c r="BJ40" s="396" t="n"/>
      <c r="BK40" s="397" t="n"/>
      <c r="BL40" s="396" t="n"/>
      <c r="BM40" s="397" t="n"/>
      <c r="BN40" s="396" t="n"/>
      <c r="BO40" s="397" t="n"/>
      <c r="BP40" s="396" t="n"/>
      <c r="BQ40" s="397" t="n"/>
      <c r="BR40" s="371" t="n"/>
      <c r="BS40" s="373" t="n"/>
    </row>
    <row r="41" ht="17.25" customFormat="1" customHeight="1" s="4" thickBot="1">
      <c r="I41" s="141" t="n"/>
      <c r="J41" s="375" t="n"/>
      <c r="K41" s="376" t="n"/>
      <c r="L41" s="398" t="n"/>
      <c r="M41" s="399" t="n"/>
      <c r="N41" s="398" t="n"/>
      <c r="O41" s="399" t="n"/>
      <c r="P41" s="398" t="n"/>
      <c r="Q41" s="399" t="n"/>
      <c r="R41" s="398" t="n"/>
      <c r="S41" s="399" t="n"/>
      <c r="T41" s="398" t="n"/>
      <c r="U41" s="399" t="n"/>
      <c r="V41" s="398" t="n"/>
      <c r="W41" s="399" t="n"/>
      <c r="X41" s="398" t="n"/>
      <c r="Y41" s="399" t="n"/>
      <c r="Z41" s="398" t="n"/>
      <c r="AA41" s="399" t="n"/>
      <c r="AB41" s="398" t="n"/>
      <c r="AC41" s="399" t="n"/>
      <c r="AD41" s="398" t="n"/>
      <c r="AE41" s="399" t="n"/>
      <c r="AF41" s="398" t="n"/>
      <c r="AG41" s="399" t="n"/>
      <c r="AH41" s="398" t="n"/>
      <c r="AI41" s="399" t="n"/>
      <c r="AJ41" s="398" t="n"/>
      <c r="AK41" s="399" t="n"/>
      <c r="AL41" s="398" t="n"/>
      <c r="AM41" s="399" t="n"/>
      <c r="AN41" s="398" t="n"/>
      <c r="AO41" s="399" t="n"/>
      <c r="AP41" s="398" t="n"/>
      <c r="AQ41" s="399" t="n"/>
      <c r="AR41" s="398" t="n"/>
      <c r="AS41" s="399" t="n"/>
      <c r="AT41" s="400" t="n"/>
      <c r="AU41" s="399" t="n"/>
      <c r="AV41" s="400" t="n"/>
      <c r="AW41" s="399" t="n"/>
      <c r="AX41" s="398" t="n"/>
      <c r="AY41" s="399" t="n"/>
      <c r="AZ41" s="398" t="n"/>
      <c r="BA41" s="399" t="n"/>
      <c r="BB41" s="398" t="n"/>
      <c r="BC41" s="399" t="n"/>
      <c r="BD41" s="398" t="n"/>
      <c r="BE41" s="399" t="n"/>
      <c r="BF41" s="398" t="n"/>
      <c r="BG41" s="399" t="n"/>
      <c r="BH41" s="398" t="n"/>
      <c r="BI41" s="399" t="n"/>
      <c r="BJ41" s="398" t="n"/>
      <c r="BK41" s="399" t="n"/>
      <c r="BL41" s="398" t="n"/>
      <c r="BM41" s="399" t="n"/>
      <c r="BN41" s="398" t="n"/>
      <c r="BO41" s="399" t="n"/>
      <c r="BP41" s="398" t="n"/>
      <c r="BQ41" s="399" t="n"/>
      <c r="BR41" s="378" t="n"/>
      <c r="BS41" s="373" t="n"/>
    </row>
    <row r="42" ht="17.25" customFormat="1" customHeight="1" s="4" thickBot="1" thickTop="1">
      <c r="I42" s="145" t="inlineStr">
        <is>
          <t>Daily Expenses Total</t>
        </is>
      </c>
      <c r="J42" s="381" t="n"/>
      <c r="K42" s="382">
        <f>SUM(K21:K41)</f>
        <v/>
      </c>
      <c r="L42" s="401" t="n"/>
      <c r="M42" s="382">
        <f>SUM(M21:M41)</f>
        <v/>
      </c>
      <c r="N42" s="401" t="n"/>
      <c r="O42" s="382">
        <f>SUM(O21:O41)</f>
        <v/>
      </c>
      <c r="P42" s="401" t="n"/>
      <c r="Q42" s="382">
        <f>SUM(Q21:Q41)</f>
        <v/>
      </c>
      <c r="R42" s="401" t="n"/>
      <c r="S42" s="382">
        <f>SUM(S21:S41)</f>
        <v/>
      </c>
      <c r="T42" s="401" t="n"/>
      <c r="U42" s="382">
        <f>SUM(U21:U41)</f>
        <v/>
      </c>
      <c r="V42" s="401" t="n"/>
      <c r="W42" s="382">
        <f>SUM(W21:W41)</f>
        <v/>
      </c>
      <c r="X42" s="401" t="n"/>
      <c r="Y42" s="382">
        <f>SUM(Y21:Y41)</f>
        <v/>
      </c>
      <c r="Z42" s="401" t="n"/>
      <c r="AA42" s="382">
        <f>SUM(AA21:AA41)</f>
        <v/>
      </c>
      <c r="AB42" s="401" t="n"/>
      <c r="AC42" s="382">
        <f>SUM(AC21:AC41)</f>
        <v/>
      </c>
      <c r="AD42" s="401" t="n"/>
      <c r="AE42" s="382">
        <f>SUM(AE21:AE41)</f>
        <v/>
      </c>
      <c r="AF42" s="401" t="n"/>
      <c r="AG42" s="382">
        <f>SUM(AG21:AG41)</f>
        <v/>
      </c>
      <c r="AH42" s="401" t="n"/>
      <c r="AI42" s="382">
        <f>SUM(AI21:AI41)</f>
        <v/>
      </c>
      <c r="AJ42" s="401" t="n"/>
      <c r="AK42" s="382">
        <f>SUM(AK21:AK41)</f>
        <v/>
      </c>
      <c r="AL42" s="401" t="n"/>
      <c r="AM42" s="382">
        <f>SUM(AM21:AM41)</f>
        <v/>
      </c>
      <c r="AN42" s="401" t="n"/>
      <c r="AO42" s="382">
        <f>SUM(AO21:AO41)</f>
        <v/>
      </c>
      <c r="AP42" s="401" t="n"/>
      <c r="AQ42" s="382">
        <f>SUM(AQ21:AQ41)</f>
        <v/>
      </c>
      <c r="AR42" s="401" t="n"/>
      <c r="AS42" s="382">
        <f>SUM(AS21:AS41)</f>
        <v/>
      </c>
      <c r="AT42" s="401" t="n"/>
      <c r="AU42" s="382">
        <f>SUM(AU21:AU41)</f>
        <v/>
      </c>
      <c r="AV42" s="401" t="n"/>
      <c r="AW42" s="382">
        <f>SUM(AW21:AW41)</f>
        <v/>
      </c>
      <c r="AX42" s="401" t="n"/>
      <c r="AY42" s="382">
        <f>SUM(AY21:AY41)</f>
        <v/>
      </c>
      <c r="AZ42" s="401" t="n"/>
      <c r="BA42" s="382">
        <f>SUM(BA21:BA41)</f>
        <v/>
      </c>
      <c r="BB42" s="401" t="n"/>
      <c r="BC42" s="382">
        <f>SUM(BC21:BC41)</f>
        <v/>
      </c>
      <c r="BD42" s="401" t="n"/>
      <c r="BE42" s="382">
        <f>SUM(BE21:BE41)</f>
        <v/>
      </c>
      <c r="BF42" s="401" t="n"/>
      <c r="BG42" s="382">
        <f>SUM(BG21:BG41)</f>
        <v/>
      </c>
      <c r="BH42" s="401" t="n"/>
      <c r="BI42" s="382">
        <f>SUM(BI21:BI41)</f>
        <v/>
      </c>
      <c r="BJ42" s="401" t="n"/>
      <c r="BK42" s="382">
        <f>SUM(BK21:BK41)</f>
        <v/>
      </c>
      <c r="BL42" s="401" t="n"/>
      <c r="BM42" s="382">
        <f>SUM(BM21:BM41)</f>
        <v/>
      </c>
      <c r="BN42" s="401" t="n"/>
      <c r="BO42" s="382">
        <f>SUM(BO21:BO41)</f>
        <v/>
      </c>
      <c r="BP42" s="401" t="n"/>
      <c r="BQ42" s="382">
        <f>SUM(BQ21:BQ41)</f>
        <v/>
      </c>
      <c r="BR42" s="401" t="n"/>
      <c r="BS42" s="382">
        <f>SUM(BS21:BS41)</f>
        <v/>
      </c>
    </row>
    <row r="43" ht="17.25" customFormat="1" customHeight="1" s="4" thickBot="1" thickTop="1">
      <c r="I43" s="164" t="inlineStr">
        <is>
          <t>Temporary Income</t>
        </is>
      </c>
      <c r="J43" s="402" t="n"/>
      <c r="K43" s="403" t="n"/>
      <c r="L43" s="404" t="n"/>
      <c r="M43" s="403" t="n"/>
      <c r="N43" s="404" t="n"/>
      <c r="O43" s="403" t="n"/>
      <c r="P43" s="404" t="n"/>
      <c r="Q43" s="403" t="n"/>
      <c r="R43" s="404" t="n"/>
      <c r="S43" s="403" t="n"/>
      <c r="T43" s="404" t="n"/>
      <c r="U43" s="403" t="n"/>
      <c r="V43" s="404" t="n"/>
      <c r="W43" s="403" t="n"/>
      <c r="X43" s="404" t="n"/>
      <c r="Y43" s="403" t="n"/>
      <c r="Z43" s="404" t="n"/>
      <c r="AA43" s="403" t="n"/>
      <c r="AB43" s="404" t="n"/>
      <c r="AC43" s="403" t="n"/>
      <c r="AD43" s="404" t="n"/>
      <c r="AE43" s="403" t="n"/>
      <c r="AF43" s="404" t="n"/>
      <c r="AG43" s="403" t="n"/>
      <c r="AH43" s="404" t="n"/>
      <c r="AI43" s="403" t="n"/>
      <c r="AJ43" s="404" t="n"/>
      <c r="AK43" s="403" t="n"/>
      <c r="AL43" s="404" t="n"/>
      <c r="AM43" s="403" t="n"/>
      <c r="AN43" s="404" t="n"/>
      <c r="AO43" s="403" t="n"/>
      <c r="AP43" s="404" t="n"/>
      <c r="AQ43" s="403" t="n"/>
      <c r="AR43" s="404" t="n"/>
      <c r="AS43" s="403" t="n"/>
      <c r="AT43" s="404" t="n"/>
      <c r="AU43" s="403" t="n"/>
      <c r="AV43" s="404" t="n"/>
      <c r="AW43" s="403" t="n"/>
      <c r="AX43" s="404" t="n"/>
      <c r="AY43" s="403" t="n"/>
      <c r="AZ43" s="404" t="n"/>
      <c r="BA43" s="403" t="n"/>
      <c r="BB43" s="404" t="n"/>
      <c r="BC43" s="403" t="n"/>
      <c r="BD43" s="404" t="n"/>
      <c r="BE43" s="403" t="n"/>
      <c r="BF43" s="404" t="n"/>
      <c r="BG43" s="403" t="n"/>
      <c r="BH43" s="404" t="n"/>
      <c r="BI43" s="403" t="n"/>
      <c r="BJ43" s="404" t="n"/>
      <c r="BK43" s="403" t="n"/>
      <c r="BL43" s="404" t="n"/>
      <c r="BM43" s="403" t="n"/>
      <c r="BN43" s="404" t="n"/>
      <c r="BO43" s="403" t="n"/>
      <c r="BP43" s="404" t="n"/>
      <c r="BQ43" s="403" t="n"/>
      <c r="BR43" s="404" t="n"/>
      <c r="BS43" s="405" t="n"/>
    </row>
    <row r="44" ht="17.25" customFormat="1" customHeight="1" s="4" thickBot="1">
      <c r="I44" s="165" t="inlineStr">
        <is>
          <t>Balance</t>
        </is>
      </c>
      <c r="J44" s="406" t="n"/>
      <c r="K44" s="407">
        <f>$C$12-$C$39-K42+K43</f>
        <v/>
      </c>
      <c r="L44" s="408" t="n"/>
      <c r="M44" s="407">
        <f>+K44-M42+M43</f>
        <v/>
      </c>
      <c r="N44" s="408" t="n"/>
      <c r="O44" s="407">
        <f>+M44-O42+O43</f>
        <v/>
      </c>
      <c r="P44" s="408" t="n"/>
      <c r="Q44" s="407">
        <f>+O44-Q42+Q43</f>
        <v/>
      </c>
      <c r="R44" s="408" t="n"/>
      <c r="S44" s="407">
        <f>+Q44-S42+S43</f>
        <v/>
      </c>
      <c r="T44" s="408" t="n"/>
      <c r="U44" s="407">
        <f>+S44-U42+U43</f>
        <v/>
      </c>
      <c r="V44" s="408" t="n"/>
      <c r="W44" s="407">
        <f>+U44-W42+W43</f>
        <v/>
      </c>
      <c r="X44" s="408" t="n"/>
      <c r="Y44" s="407">
        <f>+W44-Y42+Y43</f>
        <v/>
      </c>
      <c r="Z44" s="408" t="n"/>
      <c r="AA44" s="407">
        <f>+Y44-AA42+AA43</f>
        <v/>
      </c>
      <c r="AB44" s="408" t="n"/>
      <c r="AC44" s="407">
        <f>+AA44-AC42+AC43</f>
        <v/>
      </c>
      <c r="AD44" s="408" t="n"/>
      <c r="AE44" s="407">
        <f>+AC44-AE42+AE43</f>
        <v/>
      </c>
      <c r="AF44" s="408" t="n"/>
      <c r="AG44" s="407">
        <f>+AE44-AG42+AG43</f>
        <v/>
      </c>
      <c r="AH44" s="408" t="n"/>
      <c r="AI44" s="407">
        <f>+AG44-AI42+AI43</f>
        <v/>
      </c>
      <c r="AJ44" s="408" t="n"/>
      <c r="AK44" s="407">
        <f>+AI44-AK42+AK43</f>
        <v/>
      </c>
      <c r="AL44" s="408" t="n"/>
      <c r="AM44" s="407">
        <f>+AK44-AM42+AM43</f>
        <v/>
      </c>
      <c r="AN44" s="408" t="n"/>
      <c r="AO44" s="407">
        <f>+AM44-AO42+AO43</f>
        <v/>
      </c>
      <c r="AP44" s="408" t="n"/>
      <c r="AQ44" s="407">
        <f>+AO44-AQ42+AQ43</f>
        <v/>
      </c>
      <c r="AR44" s="408" t="n"/>
      <c r="AS44" s="407">
        <f>+AQ44-AS42+AS43</f>
        <v/>
      </c>
      <c r="AT44" s="408" t="n"/>
      <c r="AU44" s="407">
        <f>+AS44-AU42+AU43</f>
        <v/>
      </c>
      <c r="AV44" s="408" t="n"/>
      <c r="AW44" s="407">
        <f>+AU44-AW42+AW43</f>
        <v/>
      </c>
      <c r="AX44" s="408" t="n"/>
      <c r="AY44" s="407">
        <f>+AW44-AY42+AY43</f>
        <v/>
      </c>
      <c r="AZ44" s="408" t="n"/>
      <c r="BA44" s="407">
        <f>+AY44-BA42+BA43</f>
        <v/>
      </c>
      <c r="BB44" s="408" t="n"/>
      <c r="BC44" s="407">
        <f>+BA44-BC42+BC43</f>
        <v/>
      </c>
      <c r="BD44" s="408" t="n"/>
      <c r="BE44" s="407">
        <f>+BC44-BE42+BE43</f>
        <v/>
      </c>
      <c r="BF44" s="408" t="n"/>
      <c r="BG44" s="407">
        <f>+BE44-BG42+BG43</f>
        <v/>
      </c>
      <c r="BH44" s="408" t="n"/>
      <c r="BI44" s="407">
        <f>+BG44-BI42+BI43</f>
        <v/>
      </c>
      <c r="BJ44" s="408" t="n"/>
      <c r="BK44" s="407">
        <f>+BI44-BK42+BK43</f>
        <v/>
      </c>
      <c r="BL44" s="408" t="n"/>
      <c r="BM44" s="407">
        <f>+BK44-BM42+BM43</f>
        <v/>
      </c>
      <c r="BN44" s="408" t="n"/>
      <c r="BO44" s="407">
        <f>+BM44-BO42+BO43</f>
        <v/>
      </c>
      <c r="BP44" s="408" t="n"/>
      <c r="BQ44" s="407">
        <f>+BO44-BQ42+BQ43</f>
        <v/>
      </c>
      <c r="BR44" s="408" t="n"/>
      <c r="BS44" s="407">
        <f>+BQ44-BS42+BS43</f>
        <v/>
      </c>
    </row>
    <row r="46" ht="14" customHeight="1" s="304">
      <c r="J46" s="182" t="n"/>
      <c r="K46" s="182" t="n"/>
    </row>
    <row r="47" ht="40" customHeight="1" s="304">
      <c r="B47" s="448" t="inlineStr">
        <is>
          <t>Transactions this month
One row per posted line. These rows are not included in the totals above. Payments are not listed.</t>
        </is>
      </c>
    </row>
    <row r="48" ht="32" customHeight="1" s="304">
      <c r="B48" s="449" t="inlineStr">
        <is>
          <t>Card</t>
        </is>
      </c>
      <c r="C48" s="453" t="inlineStr">
        <is>
          <t>Trans date</t>
        </is>
      </c>
      <c r="D48" s="454" t="inlineStr">
        <is>
          <t>Post date</t>
        </is>
      </c>
      <c r="E48" s="45" t="n"/>
      <c r="F48" s="449" t="inlineStr">
        <is>
          <t>Description</t>
        </is>
      </c>
      <c r="G48" s="449" t="inlineStr">
        <is>
          <t>Amount</t>
        </is>
      </c>
      <c r="I48" s="449" t="inlineStr">
        <is>
          <t>Category</t>
        </is>
      </c>
      <c r="J48" s="449" t="inlineStr">
        <is>
          <t>Receipt #</t>
        </is>
      </c>
      <c r="K48" s="449" t="n"/>
      <c r="L48" s="449" t="n"/>
      <c r="S48" s="449" t="n"/>
      <c r="CA48" s="449" t="inlineStr">
        <is>
          <t>Txn key</t>
        </is>
      </c>
      <c r="CB48" s="449" t="inlineStr">
        <is>
          <t>Statement file</t>
        </is>
      </c>
      <c r="CC48" s="449" t="inlineStr">
        <is>
          <t>FX note</t>
        </is>
      </c>
      <c r="CD48" s="449" t="inlineStr">
        <is>
          <t>Status</t>
        </is>
      </c>
      <c r="CE48" s="449" t="inlineStr">
        <is>
          <t>Where written</t>
        </is>
      </c>
      <c r="CF48" s="449" t="inlineStr">
        <is>
          <t>Issuer category</t>
        </is>
      </c>
      <c r="CG48" s="449" t="inlineStr">
        <is>
          <t>Linked key</t>
        </is>
      </c>
    </row>
    <row r="49" ht="14" customHeight="1" s="304">
      <c r="B49" s="61" t="n"/>
      <c r="C49" s="47" t="n"/>
      <c r="D49" s="168" t="n"/>
      <c r="E49" s="45" t="n"/>
      <c r="F49" s="62" t="n"/>
      <c r="G49" s="461" t="n"/>
    </row>
    <row r="50" ht="14" customHeight="1" s="304">
      <c r="B50" s="61" t="n"/>
      <c r="C50" s="47" t="n"/>
      <c r="D50" s="168" t="n"/>
      <c r="E50" s="45" t="n"/>
      <c r="F50" s="62" t="n"/>
      <c r="G50" s="461" t="n"/>
    </row>
    <row r="51" ht="14" customHeight="1" s="304">
      <c r="B51" s="61" t="n"/>
      <c r="C51" s="47" t="n"/>
      <c r="D51" s="168" t="n"/>
      <c r="E51" s="45" t="n"/>
      <c r="F51" s="62" t="n"/>
      <c r="G51" s="461" t="n"/>
    </row>
    <row r="52" ht="14" customHeight="1" s="304">
      <c r="B52" s="61" t="n"/>
      <c r="C52" s="47" t="n"/>
      <c r="D52" s="168" t="n"/>
      <c r="E52" s="45" t="n"/>
      <c r="F52" s="62" t="n"/>
      <c r="G52" s="461" t="n"/>
    </row>
    <row r="53" ht="14" customHeight="1" s="304">
      <c r="B53" s="61" t="n"/>
      <c r="C53" s="47" t="n"/>
      <c r="D53" s="168" t="n"/>
      <c r="E53" s="45" t="n"/>
      <c r="F53" s="62" t="n"/>
      <c r="G53" s="461" t="n"/>
    </row>
    <row r="54" ht="14" customHeight="1" s="304">
      <c r="B54" s="61" t="n"/>
      <c r="C54" s="47" t="n"/>
      <c r="D54" s="168" t="n"/>
      <c r="E54" s="45" t="n"/>
      <c r="F54" s="62" t="n"/>
      <c r="G54" s="461" t="n"/>
    </row>
    <row r="55" ht="14" customHeight="1" s="304">
      <c r="B55" s="61" t="n"/>
      <c r="C55" s="47" t="n"/>
      <c r="D55" s="168" t="n"/>
      <c r="E55" s="45" t="n"/>
      <c r="F55" s="62" t="n"/>
      <c r="G55" s="461" t="n"/>
    </row>
    <row r="56" ht="14" customHeight="1" s="304">
      <c r="B56" s="61" t="n"/>
      <c r="C56" s="47" t="n"/>
      <c r="D56" s="168" t="n"/>
      <c r="E56" s="45" t="n"/>
      <c r="F56" s="62" t="n"/>
      <c r="G56" s="461" t="n"/>
    </row>
    <row r="57" ht="14" customHeight="1" s="304">
      <c r="B57" s="61" t="n"/>
      <c r="C57" s="47" t="n"/>
      <c r="D57" s="168" t="n"/>
      <c r="E57" s="45" t="n"/>
      <c r="F57" s="62" t="n"/>
      <c r="G57" s="461" t="n"/>
    </row>
    <row r="58" ht="14" customHeight="1" s="304">
      <c r="B58" s="61" t="n"/>
      <c r="C58" s="47" t="n"/>
      <c r="D58" s="168" t="n"/>
      <c r="E58" s="45" t="n"/>
      <c r="F58" s="62" t="n"/>
      <c r="G58" s="461" t="n"/>
    </row>
    <row r="59" ht="14" customHeight="1" s="304">
      <c r="B59" s="62" t="n"/>
      <c r="C59" s="62" t="n"/>
      <c r="D59" s="247" t="n"/>
      <c r="F59" s="62" t="n"/>
      <c r="G59" s="461" t="n"/>
    </row>
    <row r="60" ht="14" customHeight="1" s="304">
      <c r="B60" s="62" t="n"/>
      <c r="C60" s="62" t="n"/>
      <c r="D60" s="62" t="n"/>
      <c r="E60" s="62" t="n"/>
      <c r="F60" s="62" t="n"/>
      <c r="G60" s="461" t="n"/>
    </row>
    <row r="61" ht="14" customHeight="1" s="304">
      <c r="B61" s="62" t="n"/>
      <c r="C61" s="62" t="n"/>
      <c r="D61" s="62" t="n"/>
      <c r="E61" s="62" t="n"/>
      <c r="F61" s="62" t="n"/>
      <c r="G61" s="461" t="n"/>
    </row>
    <row r="62" ht="14" customHeight="1" s="304">
      <c r="B62" s="62" t="n"/>
      <c r="C62" s="62" t="n"/>
      <c r="D62" s="62" t="n"/>
      <c r="E62" s="62" t="n"/>
      <c r="F62" s="62" t="n"/>
      <c r="G62" s="461" t="n"/>
    </row>
    <row r="63" ht="14" customHeight="1" s="304">
      <c r="B63" s="62" t="n"/>
      <c r="C63" s="62" t="n"/>
      <c r="D63" s="62" t="n"/>
      <c r="E63" s="62" t="n"/>
      <c r="F63" s="62" t="n"/>
      <c r="G63" s="461" t="n"/>
    </row>
    <row r="64" ht="14" customHeight="1" s="304">
      <c r="B64" s="62" t="n"/>
      <c r="C64" s="62" t="n"/>
      <c r="D64" s="62" t="n"/>
      <c r="E64" s="62" t="n"/>
      <c r="F64" s="62" t="n"/>
      <c r="G64" s="461" t="n"/>
    </row>
    <row r="65" ht="14" customHeight="1" s="304">
      <c r="B65" s="62" t="n"/>
      <c r="C65" s="62" t="n"/>
      <c r="D65" s="62" t="n"/>
      <c r="E65" s="62" t="n"/>
      <c r="F65" s="62" t="n"/>
      <c r="G65" s="461" t="n"/>
    </row>
    <row r="66" ht="14" customHeight="1" s="304">
      <c r="B66" s="62" t="n"/>
      <c r="C66" s="62" t="n"/>
      <c r="D66" s="62" t="n"/>
      <c r="E66" s="62" t="n"/>
      <c r="F66" s="62" t="n"/>
      <c r="G66" s="461" t="n"/>
    </row>
    <row r="67" ht="14" customHeight="1" s="304">
      <c r="B67" s="62" t="n"/>
      <c r="C67" s="62" t="n"/>
      <c r="D67" s="62" t="n"/>
      <c r="E67" s="62" t="n"/>
      <c r="F67" s="62" t="n"/>
      <c r="G67" s="461" t="n"/>
    </row>
    <row r="68" ht="14" customHeight="1" s="304">
      <c r="B68" s="62" t="n"/>
      <c r="C68" s="62" t="n"/>
      <c r="D68" s="62" t="n"/>
      <c r="E68" s="62" t="n"/>
      <c r="F68" s="62" t="n"/>
      <c r="G68" s="461" t="n"/>
    </row>
    <row r="69">
      <c r="G69" s="461" t="n"/>
    </row>
    <row r="70">
      <c r="G70" s="461" t="n"/>
    </row>
    <row r="71">
      <c r="G71" s="461" t="n"/>
    </row>
    <row r="72">
      <c r="G72" s="461" t="n"/>
    </row>
    <row r="73">
      <c r="G73" s="461" t="n"/>
    </row>
    <row r="74">
      <c r="G74" s="461" t="n"/>
    </row>
    <row r="75">
      <c r="G75" s="461" t="n"/>
    </row>
    <row r="76">
      <c r="G76" s="461" t="n"/>
    </row>
    <row r="77">
      <c r="G77" s="461" t="n"/>
    </row>
    <row r="78">
      <c r="G78" s="461" t="n"/>
    </row>
    <row r="79">
      <c r="G79" s="461" t="n"/>
    </row>
    <row r="80">
      <c r="G80" s="461" t="n"/>
    </row>
    <row r="81">
      <c r="G81" s="461" t="n"/>
    </row>
    <row r="82">
      <c r="G82" s="461" t="n"/>
    </row>
    <row r="83">
      <c r="G83" s="461" t="n"/>
    </row>
    <row r="84">
      <c r="G84" s="461" t="n"/>
    </row>
    <row r="85">
      <c r="G85" s="461" t="n"/>
    </row>
    <row r="86">
      <c r="G86" s="461" t="n"/>
    </row>
    <row r="87">
      <c r="G87" s="461" t="n"/>
    </row>
    <row r="88">
      <c r="G88" s="461" t="n"/>
    </row>
    <row r="89">
      <c r="G89" s="461" t="n"/>
    </row>
    <row r="90">
      <c r="G90" s="461" t="n"/>
    </row>
    <row r="91">
      <c r="G91" s="461" t="n"/>
    </row>
    <row r="92">
      <c r="G92" s="461" t="n"/>
    </row>
    <row r="93">
      <c r="G93" s="461" t="n"/>
    </row>
    <row r="94">
      <c r="G94" s="461" t="n"/>
    </row>
    <row r="95">
      <c r="G95" s="461" t="n"/>
    </row>
    <row r="96">
      <c r="G96" s="461" t="n"/>
    </row>
    <row r="97">
      <c r="G97" s="461" t="n"/>
    </row>
    <row r="98">
      <c r="G98" s="461" t="n"/>
    </row>
    <row r="99">
      <c r="G99" s="461" t="n"/>
    </row>
    <row r="100">
      <c r="G100" s="461" t="n"/>
    </row>
    <row r="101">
      <c r="G101" s="461" t="n"/>
    </row>
    <row r="102">
      <c r="G102" s="461" t="n"/>
    </row>
    <row r="103">
      <c r="G103" s="461" t="n"/>
    </row>
    <row r="104">
      <c r="G104" s="461" t="n"/>
    </row>
    <row r="105">
      <c r="G105" s="461" t="n"/>
    </row>
    <row r="106">
      <c r="G106" s="461" t="n"/>
    </row>
    <row r="107">
      <c r="G107" s="461" t="n"/>
    </row>
    <row r="108">
      <c r="G108" s="461" t="n"/>
    </row>
    <row r="109">
      <c r="G109" s="461" t="n"/>
    </row>
    <row r="110">
      <c r="G110" s="461" t="n"/>
    </row>
    <row r="111">
      <c r="G111" s="461" t="n"/>
    </row>
    <row r="112">
      <c r="G112" s="461" t="n"/>
    </row>
    <row r="113">
      <c r="G113" s="461" t="n"/>
    </row>
    <row r="114">
      <c r="G114" s="461" t="n"/>
    </row>
    <row r="115">
      <c r="G115" s="461" t="n"/>
    </row>
    <row r="116">
      <c r="G116" s="461" t="n"/>
    </row>
    <row r="117">
      <c r="G117" s="461" t="n"/>
    </row>
    <row r="118">
      <c r="G118" s="461" t="n"/>
    </row>
    <row r="119">
      <c r="G119" s="461" t="n"/>
    </row>
    <row r="120">
      <c r="G120" s="461" t="n"/>
    </row>
    <row r="121">
      <c r="G121" s="461" t="n"/>
    </row>
    <row r="122">
      <c r="G122" s="461" t="n"/>
    </row>
    <row r="123">
      <c r="G123" s="461" t="n"/>
    </row>
    <row r="124">
      <c r="G124" s="461" t="n"/>
    </row>
    <row r="125">
      <c r="G125" s="461" t="n"/>
    </row>
    <row r="126">
      <c r="G126" s="461" t="n"/>
    </row>
    <row r="127">
      <c r="G127" s="461" t="n"/>
    </row>
    <row r="128">
      <c r="G128" s="461" t="n"/>
    </row>
    <row r="129">
      <c r="G129" s="461" t="n"/>
    </row>
    <row r="130">
      <c r="G130" s="461" t="n"/>
    </row>
    <row r="131">
      <c r="G131" s="461" t="n"/>
    </row>
    <row r="132">
      <c r="G132" s="461" t="n"/>
    </row>
    <row r="133">
      <c r="G133" s="461" t="n"/>
    </row>
    <row r="134">
      <c r="G134" s="461" t="n"/>
    </row>
    <row r="135">
      <c r="G135" s="461" t="n"/>
    </row>
    <row r="136">
      <c r="G136" s="461" t="n"/>
    </row>
    <row r="137">
      <c r="G137" s="461" t="n"/>
    </row>
    <row r="138">
      <c r="G138" s="461" t="n"/>
    </row>
    <row r="139">
      <c r="G139" s="461" t="n"/>
    </row>
    <row r="140">
      <c r="G140" s="461" t="n"/>
    </row>
    <row r="141">
      <c r="G141" s="461" t="n"/>
    </row>
    <row r="142">
      <c r="G142" s="461" t="n"/>
    </row>
    <row r="143">
      <c r="G143" s="461" t="n"/>
    </row>
    <row r="144">
      <c r="G144" s="461" t="n"/>
    </row>
    <row r="145">
      <c r="G145" s="461" t="n"/>
    </row>
    <row r="146">
      <c r="G146" s="461" t="n"/>
    </row>
    <row r="147">
      <c r="G147" s="461" t="n"/>
    </row>
    <row r="148">
      <c r="G148" s="461" t="n"/>
    </row>
    <row r="149">
      <c r="G149" s="461" t="n"/>
    </row>
    <row r="150" ht="40" customHeight="1" s="304">
      <c r="B150" s="448" t="inlineStr">
        <is>
          <t>Receipts this month
One row per receipt. These rows are not included in the totals above. A linked receipt does not add a second amount.</t>
        </is>
      </c>
    </row>
    <row r="151" ht="32" customHeight="1" s="304">
      <c r="B151" s="449" t="inlineStr">
        <is>
          <t>Receipt #</t>
        </is>
      </c>
      <c r="C151" s="449" t="inlineStr">
        <is>
          <t>Store</t>
        </is>
      </c>
      <c r="D151" s="449" t="inlineStr">
        <is>
          <t>Date &amp; time</t>
        </is>
      </c>
      <c r="F151" s="449" t="inlineStr">
        <is>
          <t>Total</t>
        </is>
      </c>
      <c r="G151" s="454" t="inlineStr">
        <is>
          <t>Card/pay</t>
        </is>
      </c>
      <c r="I151" s="449" t="inlineStr">
        <is>
          <t>Item 1</t>
        </is>
      </c>
      <c r="J151" s="449" t="inlineStr">
        <is>
          <t>Price</t>
        </is>
      </c>
      <c r="K151" s="449" t="inlineStr">
        <is>
          <t>Category</t>
        </is>
      </c>
      <c r="L151" s="449" t="inlineStr">
        <is>
          <t>Item 2</t>
        </is>
      </c>
      <c r="M151" s="449" t="inlineStr">
        <is>
          <t>Price</t>
        </is>
      </c>
      <c r="N151" s="449" t="inlineStr">
        <is>
          <t>Category</t>
        </is>
      </c>
      <c r="O151" s="449" t="inlineStr">
        <is>
          <t>Item 3</t>
        </is>
      </c>
      <c r="P151" s="449" t="inlineStr">
        <is>
          <t>Price</t>
        </is>
      </c>
      <c r="Q151" s="449" t="inlineStr">
        <is>
          <t>Category</t>
        </is>
      </c>
      <c r="R151" s="449" t="inlineStr">
        <is>
          <t>Item 4</t>
        </is>
      </c>
      <c r="S151" s="449" t="inlineStr">
        <is>
          <t>Price</t>
        </is>
      </c>
      <c r="T151" s="449" t="inlineStr">
        <is>
          <t>Category</t>
        </is>
      </c>
      <c r="U151" s="449" t="inlineStr">
        <is>
          <t>Item 5</t>
        </is>
      </c>
      <c r="V151" s="449" t="inlineStr">
        <is>
          <t>Price</t>
        </is>
      </c>
      <c r="W151" s="449" t="inlineStr">
        <is>
          <t>Category</t>
        </is>
      </c>
      <c r="X151" s="449" t="inlineStr">
        <is>
          <t>Item 6</t>
        </is>
      </c>
      <c r="Y151" s="449" t="inlineStr">
        <is>
          <t>Price</t>
        </is>
      </c>
      <c r="Z151" s="449" t="inlineStr">
        <is>
          <t>Category</t>
        </is>
      </c>
      <c r="AA151" s="449" t="inlineStr">
        <is>
          <t>File</t>
        </is>
      </c>
      <c r="CA151" s="449" t="inlineStr">
        <is>
          <t>Receipt key</t>
        </is>
      </c>
      <c r="CB151" s="449" t="inlineStr">
        <is>
          <t>File list</t>
        </is>
      </c>
      <c r="CC151" s="449" t="inlineStr">
        <is>
          <t>Note</t>
        </is>
      </c>
      <c r="CD151" s="449" t="inlineStr">
        <is>
          <t>Status</t>
        </is>
      </c>
      <c r="CE151" s="449" t="inlineStr">
        <is>
          <t>Where written</t>
        </is>
      </c>
      <c r="CF151" s="449" t="inlineStr">
        <is>
          <t>Return window days</t>
        </is>
      </c>
      <c r="CG151" s="449" t="inlineStr">
        <is>
          <t>Linked txn key</t>
        </is>
      </c>
    </row>
    <row r="152">
      <c r="F152" s="461" t="n"/>
      <c r="G152" s="461" t="n"/>
      <c r="J152" s="461" t="n"/>
      <c r="M152" s="461" t="n"/>
      <c r="P152" s="461" t="n"/>
      <c r="S152" s="461" t="n"/>
      <c r="V152" s="461" t="n"/>
      <c r="Y152" s="461" t="n"/>
    </row>
    <row r="153">
      <c r="F153" s="461" t="n"/>
      <c r="G153" s="461" t="n"/>
      <c r="J153" s="461" t="n"/>
      <c r="M153" s="461" t="n"/>
      <c r="P153" s="461" t="n"/>
      <c r="S153" s="461" t="n"/>
      <c r="V153" s="461" t="n"/>
      <c r="Y153" s="461" t="n"/>
    </row>
    <row r="154">
      <c r="F154" s="461" t="n"/>
      <c r="G154" s="461" t="n"/>
      <c r="J154" s="461" t="n"/>
      <c r="M154" s="461" t="n"/>
      <c r="P154" s="461" t="n"/>
      <c r="S154" s="461" t="n"/>
      <c r="V154" s="461" t="n"/>
      <c r="Y154" s="461" t="n"/>
    </row>
    <row r="155">
      <c r="F155" s="461" t="n"/>
      <c r="G155" s="461" t="n"/>
      <c r="J155" s="461" t="n"/>
      <c r="M155" s="461" t="n"/>
      <c r="P155" s="461" t="n"/>
      <c r="S155" s="461" t="n"/>
      <c r="V155" s="461" t="n"/>
      <c r="Y155" s="461" t="n"/>
    </row>
    <row r="156">
      <c r="F156" s="461" t="n"/>
      <c r="G156" s="461" t="n"/>
      <c r="J156" s="461" t="n"/>
      <c r="M156" s="461" t="n"/>
      <c r="P156" s="461" t="n"/>
      <c r="S156" s="461" t="n"/>
      <c r="V156" s="461" t="n"/>
      <c r="Y156" s="461" t="n"/>
    </row>
    <row r="157">
      <c r="F157" s="461" t="n"/>
      <c r="G157" s="461" t="n"/>
      <c r="J157" s="461" t="n"/>
      <c r="M157" s="461" t="n"/>
      <c r="P157" s="461" t="n"/>
      <c r="S157" s="461" t="n"/>
      <c r="V157" s="461" t="n"/>
      <c r="Y157" s="461" t="n"/>
    </row>
    <row r="158">
      <c r="F158" s="461" t="n"/>
      <c r="G158" s="461" t="n"/>
      <c r="J158" s="461" t="n"/>
      <c r="M158" s="461" t="n"/>
      <c r="P158" s="461" t="n"/>
      <c r="S158" s="461" t="n"/>
      <c r="V158" s="461" t="n"/>
      <c r="Y158" s="461" t="n"/>
    </row>
    <row r="159">
      <c r="F159" s="461" t="n"/>
      <c r="G159" s="461" t="n"/>
      <c r="J159" s="461" t="n"/>
      <c r="M159" s="461" t="n"/>
      <c r="P159" s="461" t="n"/>
      <c r="S159" s="461" t="n"/>
      <c r="V159" s="461" t="n"/>
      <c r="Y159" s="461" t="n"/>
    </row>
    <row r="160">
      <c r="F160" s="461" t="n"/>
      <c r="G160" s="461" t="n"/>
      <c r="J160" s="461" t="n"/>
      <c r="M160" s="461" t="n"/>
      <c r="P160" s="461" t="n"/>
      <c r="S160" s="461" t="n"/>
      <c r="V160" s="461" t="n"/>
      <c r="Y160" s="461" t="n"/>
    </row>
    <row r="161">
      <c r="F161" s="461" t="n"/>
      <c r="G161" s="461" t="n"/>
      <c r="J161" s="461" t="n"/>
      <c r="M161" s="461" t="n"/>
      <c r="P161" s="461" t="n"/>
      <c r="S161" s="461" t="n"/>
      <c r="V161" s="461" t="n"/>
      <c r="Y161" s="461" t="n"/>
    </row>
    <row r="162">
      <c r="F162" s="461" t="n"/>
      <c r="G162" s="461" t="n"/>
      <c r="J162" s="461" t="n"/>
      <c r="M162" s="461" t="n"/>
      <c r="P162" s="461" t="n"/>
      <c r="S162" s="461" t="n"/>
      <c r="V162" s="461" t="n"/>
      <c r="Y162" s="461" t="n"/>
    </row>
    <row r="163">
      <c r="F163" s="461" t="n"/>
      <c r="G163" s="461" t="n"/>
      <c r="J163" s="461" t="n"/>
      <c r="M163" s="461" t="n"/>
      <c r="P163" s="461" t="n"/>
      <c r="S163" s="461" t="n"/>
      <c r="V163" s="461" t="n"/>
      <c r="Y163" s="461" t="n"/>
    </row>
    <row r="164">
      <c r="F164" s="461" t="n"/>
      <c r="G164" s="461" t="n"/>
      <c r="J164" s="461" t="n"/>
      <c r="M164" s="461" t="n"/>
      <c r="P164" s="461" t="n"/>
      <c r="S164" s="461" t="n"/>
      <c r="V164" s="461" t="n"/>
      <c r="Y164" s="461" t="n"/>
    </row>
    <row r="165">
      <c r="F165" s="461" t="n"/>
      <c r="G165" s="461" t="n"/>
      <c r="J165" s="461" t="n"/>
      <c r="M165" s="461" t="n"/>
      <c r="P165" s="461" t="n"/>
      <c r="S165" s="461" t="n"/>
      <c r="V165" s="461" t="n"/>
      <c r="Y165" s="461" t="n"/>
    </row>
    <row r="166">
      <c r="F166" s="461" t="n"/>
      <c r="G166" s="461" t="n"/>
      <c r="J166" s="461" t="n"/>
      <c r="M166" s="461" t="n"/>
      <c r="P166" s="461" t="n"/>
      <c r="S166" s="461" t="n"/>
      <c r="V166" s="461" t="n"/>
      <c r="Y166" s="461" t="n"/>
    </row>
    <row r="167">
      <c r="F167" s="461" t="n"/>
      <c r="G167" s="461" t="n"/>
      <c r="J167" s="461" t="n"/>
      <c r="M167" s="461" t="n"/>
      <c r="P167" s="461" t="n"/>
      <c r="S167" s="461" t="n"/>
      <c r="V167" s="461" t="n"/>
      <c r="Y167" s="461" t="n"/>
    </row>
    <row r="168">
      <c r="F168" s="461" t="n"/>
      <c r="G168" s="461" t="n"/>
      <c r="J168" s="461" t="n"/>
      <c r="M168" s="461" t="n"/>
      <c r="P168" s="461" t="n"/>
      <c r="S168" s="461" t="n"/>
      <c r="V168" s="461" t="n"/>
      <c r="Y168" s="461" t="n"/>
    </row>
    <row r="169">
      <c r="F169" s="461" t="n"/>
      <c r="G169" s="461" t="n"/>
      <c r="J169" s="461" t="n"/>
      <c r="M169" s="461" t="n"/>
      <c r="P169" s="461" t="n"/>
      <c r="S169" s="461" t="n"/>
      <c r="V169" s="461" t="n"/>
      <c r="Y169" s="461" t="n"/>
    </row>
    <row r="170">
      <c r="F170" s="461" t="n"/>
      <c r="G170" s="461" t="n"/>
      <c r="J170" s="461" t="n"/>
      <c r="M170" s="461" t="n"/>
      <c r="P170" s="461" t="n"/>
      <c r="S170" s="461" t="n"/>
      <c r="V170" s="461" t="n"/>
      <c r="Y170" s="461" t="n"/>
    </row>
    <row r="171">
      <c r="F171" s="461" t="n"/>
      <c r="G171" s="461" t="n"/>
      <c r="J171" s="461" t="n"/>
      <c r="M171" s="461" t="n"/>
      <c r="P171" s="461" t="n"/>
      <c r="S171" s="461" t="n"/>
      <c r="V171" s="461" t="n"/>
      <c r="Y171" s="461" t="n"/>
    </row>
    <row r="172">
      <c r="F172" s="461" t="n"/>
      <c r="G172" s="461" t="n"/>
      <c r="J172" s="461" t="n"/>
      <c r="M172" s="461" t="n"/>
      <c r="P172" s="461" t="n"/>
      <c r="S172" s="461" t="n"/>
      <c r="V172" s="461" t="n"/>
      <c r="Y172" s="461" t="n"/>
    </row>
    <row r="173">
      <c r="F173" s="461" t="n"/>
      <c r="G173" s="461" t="n"/>
      <c r="J173" s="461" t="n"/>
      <c r="M173" s="461" t="n"/>
      <c r="P173" s="461" t="n"/>
      <c r="S173" s="461" t="n"/>
      <c r="V173" s="461" t="n"/>
      <c r="Y173" s="461" t="n"/>
    </row>
    <row r="174">
      <c r="F174" s="461" t="n"/>
      <c r="G174" s="461" t="n"/>
      <c r="J174" s="461" t="n"/>
      <c r="M174" s="461" t="n"/>
      <c r="P174" s="461" t="n"/>
      <c r="S174" s="461" t="n"/>
      <c r="V174" s="461" t="n"/>
      <c r="Y174" s="461" t="n"/>
    </row>
    <row r="175">
      <c r="F175" s="461" t="n"/>
      <c r="G175" s="461" t="n"/>
      <c r="J175" s="461" t="n"/>
      <c r="M175" s="461" t="n"/>
      <c r="P175" s="461" t="n"/>
      <c r="S175" s="461" t="n"/>
      <c r="V175" s="461" t="n"/>
      <c r="Y175" s="461" t="n"/>
    </row>
    <row r="176">
      <c r="F176" s="461" t="n"/>
      <c r="G176" s="461" t="n"/>
      <c r="J176" s="461" t="n"/>
      <c r="M176" s="461" t="n"/>
      <c r="P176" s="461" t="n"/>
      <c r="S176" s="461" t="n"/>
      <c r="V176" s="461" t="n"/>
      <c r="Y176" s="461" t="n"/>
    </row>
    <row r="177">
      <c r="F177" s="461" t="n"/>
      <c r="G177" s="461" t="n"/>
      <c r="J177" s="461" t="n"/>
      <c r="M177" s="461" t="n"/>
      <c r="P177" s="461" t="n"/>
      <c r="S177" s="461" t="n"/>
      <c r="V177" s="461" t="n"/>
      <c r="Y177" s="461" t="n"/>
    </row>
    <row r="178">
      <c r="F178" s="461" t="n"/>
      <c r="G178" s="461" t="n"/>
      <c r="J178" s="461" t="n"/>
      <c r="M178" s="461" t="n"/>
      <c r="P178" s="461" t="n"/>
      <c r="S178" s="461" t="n"/>
      <c r="V178" s="461" t="n"/>
      <c r="Y178" s="461" t="n"/>
    </row>
    <row r="179">
      <c r="F179" s="461" t="n"/>
      <c r="G179" s="461" t="n"/>
      <c r="J179" s="461" t="n"/>
      <c r="M179" s="461" t="n"/>
      <c r="P179" s="461" t="n"/>
      <c r="S179" s="461" t="n"/>
      <c r="V179" s="461" t="n"/>
      <c r="Y179" s="461" t="n"/>
    </row>
    <row r="180">
      <c r="F180" s="461" t="n"/>
      <c r="G180" s="461" t="n"/>
      <c r="J180" s="461" t="n"/>
      <c r="M180" s="461" t="n"/>
      <c r="P180" s="461" t="n"/>
      <c r="S180" s="461" t="n"/>
      <c r="V180" s="461" t="n"/>
      <c r="Y180" s="461" t="n"/>
    </row>
    <row r="181">
      <c r="F181" s="461" t="n"/>
      <c r="G181" s="461" t="n"/>
      <c r="J181" s="461" t="n"/>
      <c r="M181" s="461" t="n"/>
      <c r="P181" s="461" t="n"/>
      <c r="S181" s="461" t="n"/>
      <c r="V181" s="461" t="n"/>
      <c r="Y181" s="461" t="n"/>
    </row>
    <row r="182">
      <c r="F182" s="461" t="n"/>
      <c r="G182" s="461" t="n"/>
      <c r="J182" s="461" t="n"/>
      <c r="M182" s="461" t="n"/>
      <c r="P182" s="461" t="n"/>
      <c r="S182" s="461" t="n"/>
      <c r="V182" s="461" t="n"/>
      <c r="Y182" s="461" t="n"/>
    </row>
    <row r="183">
      <c r="F183" s="461" t="n"/>
      <c r="G183" s="461" t="n"/>
      <c r="J183" s="461" t="n"/>
      <c r="M183" s="461" t="n"/>
      <c r="P183" s="461" t="n"/>
      <c r="S183" s="461" t="n"/>
      <c r="V183" s="461" t="n"/>
      <c r="Y183" s="461" t="n"/>
    </row>
    <row r="184">
      <c r="F184" s="461" t="n"/>
      <c r="G184" s="461" t="n"/>
      <c r="J184" s="461" t="n"/>
      <c r="M184" s="461" t="n"/>
      <c r="P184" s="461" t="n"/>
      <c r="S184" s="461" t="n"/>
      <c r="V184" s="461" t="n"/>
      <c r="Y184" s="461" t="n"/>
    </row>
    <row r="185">
      <c r="F185" s="461" t="n"/>
      <c r="G185" s="461" t="n"/>
      <c r="J185" s="461" t="n"/>
      <c r="M185" s="461" t="n"/>
      <c r="P185" s="461" t="n"/>
      <c r="S185" s="461" t="n"/>
      <c r="V185" s="461" t="n"/>
      <c r="Y185" s="461" t="n"/>
    </row>
    <row r="186">
      <c r="F186" s="461" t="n"/>
      <c r="G186" s="461" t="n"/>
      <c r="J186" s="461" t="n"/>
      <c r="M186" s="461" t="n"/>
      <c r="P186" s="461" t="n"/>
      <c r="S186" s="461" t="n"/>
      <c r="V186" s="461" t="n"/>
      <c r="Y186" s="461" t="n"/>
    </row>
    <row r="187">
      <c r="F187" s="461" t="n"/>
      <c r="G187" s="461" t="n"/>
      <c r="J187" s="461" t="n"/>
      <c r="M187" s="461" t="n"/>
      <c r="P187" s="461" t="n"/>
      <c r="S187" s="461" t="n"/>
      <c r="V187" s="461" t="n"/>
      <c r="Y187" s="461" t="n"/>
    </row>
    <row r="188">
      <c r="F188" s="461" t="n"/>
      <c r="G188" s="461" t="n"/>
      <c r="J188" s="461" t="n"/>
      <c r="M188" s="461" t="n"/>
      <c r="P188" s="461" t="n"/>
      <c r="S188" s="461" t="n"/>
      <c r="V188" s="461" t="n"/>
      <c r="Y188" s="461" t="n"/>
    </row>
    <row r="189">
      <c r="F189" s="461" t="n"/>
      <c r="G189" s="461" t="n"/>
      <c r="J189" s="461" t="n"/>
      <c r="M189" s="461" t="n"/>
      <c r="P189" s="461" t="n"/>
      <c r="S189" s="461" t="n"/>
      <c r="V189" s="461" t="n"/>
      <c r="Y189" s="461" t="n"/>
    </row>
    <row r="190">
      <c r="F190" s="461" t="n"/>
      <c r="G190" s="461" t="n"/>
      <c r="J190" s="461" t="n"/>
      <c r="M190" s="461" t="n"/>
      <c r="P190" s="461" t="n"/>
      <c r="S190" s="461" t="n"/>
      <c r="V190" s="461" t="n"/>
      <c r="Y190" s="461" t="n"/>
    </row>
    <row r="191">
      <c r="F191" s="461" t="n"/>
      <c r="G191" s="461" t="n"/>
      <c r="J191" s="461" t="n"/>
      <c r="M191" s="461" t="n"/>
      <c r="P191" s="461" t="n"/>
      <c r="S191" s="461" t="n"/>
      <c r="V191" s="461" t="n"/>
      <c r="Y191" s="461" t="n"/>
    </row>
    <row r="192">
      <c r="F192" s="461" t="n"/>
      <c r="G192" s="461" t="n"/>
      <c r="J192" s="461" t="n"/>
      <c r="M192" s="461" t="n"/>
      <c r="P192" s="461" t="n"/>
      <c r="S192" s="461" t="n"/>
      <c r="V192" s="461" t="n"/>
      <c r="Y192" s="461" t="n"/>
    </row>
    <row r="193">
      <c r="F193" s="461" t="n"/>
      <c r="G193" s="461" t="n"/>
      <c r="J193" s="461" t="n"/>
      <c r="M193" s="461" t="n"/>
      <c r="P193" s="461" t="n"/>
      <c r="S193" s="461" t="n"/>
      <c r="V193" s="461" t="n"/>
      <c r="Y193" s="461" t="n"/>
    </row>
    <row r="194">
      <c r="F194" s="461" t="n"/>
      <c r="G194" s="461" t="n"/>
      <c r="J194" s="461" t="n"/>
      <c r="M194" s="461" t="n"/>
      <c r="P194" s="461" t="n"/>
      <c r="S194" s="461" t="n"/>
      <c r="V194" s="461" t="n"/>
      <c r="Y194" s="461" t="n"/>
    </row>
    <row r="195">
      <c r="F195" s="461" t="n"/>
      <c r="G195" s="461" t="n"/>
      <c r="J195" s="461" t="n"/>
      <c r="M195" s="461" t="n"/>
      <c r="P195" s="461" t="n"/>
      <c r="S195" s="461" t="n"/>
      <c r="V195" s="461" t="n"/>
      <c r="Y195" s="461" t="n"/>
    </row>
    <row r="196">
      <c r="F196" s="461" t="n"/>
      <c r="G196" s="461" t="n"/>
      <c r="J196" s="461" t="n"/>
      <c r="M196" s="461" t="n"/>
      <c r="P196" s="461" t="n"/>
      <c r="S196" s="461" t="n"/>
      <c r="V196" s="461" t="n"/>
      <c r="Y196" s="461" t="n"/>
    </row>
    <row r="197">
      <c r="F197" s="461" t="n"/>
      <c r="G197" s="461" t="n"/>
      <c r="J197" s="461" t="n"/>
      <c r="M197" s="461" t="n"/>
      <c r="P197" s="461" t="n"/>
      <c r="S197" s="461" t="n"/>
      <c r="V197" s="461" t="n"/>
      <c r="Y197" s="461" t="n"/>
    </row>
    <row r="198">
      <c r="F198" s="461" t="n"/>
      <c r="G198" s="461" t="n"/>
      <c r="J198" s="461" t="n"/>
      <c r="M198" s="461" t="n"/>
      <c r="P198" s="461" t="n"/>
      <c r="S198" s="461" t="n"/>
      <c r="V198" s="461" t="n"/>
      <c r="Y198" s="461" t="n"/>
    </row>
    <row r="199">
      <c r="F199" s="461" t="n"/>
      <c r="G199" s="461" t="n"/>
      <c r="J199" s="461" t="n"/>
      <c r="M199" s="461" t="n"/>
      <c r="P199" s="461" t="n"/>
      <c r="S199" s="461" t="n"/>
      <c r="V199" s="461" t="n"/>
      <c r="Y199" s="461" t="n"/>
    </row>
    <row r="200">
      <c r="F200" s="461" t="n"/>
      <c r="G200" s="461" t="n"/>
      <c r="J200" s="461" t="n"/>
      <c r="M200" s="461" t="n"/>
      <c r="P200" s="461" t="n"/>
      <c r="S200" s="461" t="n"/>
      <c r="V200" s="461" t="n"/>
      <c r="Y200" s="461" t="n"/>
    </row>
    <row r="201">
      <c r="F201" s="461" t="n"/>
      <c r="J201" s="461" t="n"/>
      <c r="M201" s="461" t="n"/>
      <c r="P201" s="461" t="n"/>
      <c r="S201" s="461" t="n"/>
      <c r="V201" s="461" t="n"/>
      <c r="Y201" s="461" t="n"/>
    </row>
    <row r="202">
      <c r="F202" s="461" t="n"/>
      <c r="J202" s="461" t="n"/>
      <c r="M202" s="461" t="n"/>
      <c r="P202" s="461" t="n"/>
      <c r="S202" s="461" t="n"/>
      <c r="V202" s="461" t="n"/>
      <c r="Y202" s="461" t="n"/>
    </row>
    <row r="203">
      <c r="F203" s="461" t="n"/>
      <c r="J203" s="461" t="n"/>
      <c r="M203" s="461" t="n"/>
      <c r="P203" s="461" t="n"/>
      <c r="S203" s="461" t="n"/>
      <c r="V203" s="461" t="n"/>
      <c r="Y203" s="461" t="n"/>
    </row>
    <row r="204">
      <c r="F204" s="461" t="n"/>
      <c r="J204" s="461" t="n"/>
      <c r="M204" s="461" t="n"/>
      <c r="P204" s="461" t="n"/>
      <c r="S204" s="461" t="n"/>
      <c r="V204" s="461" t="n"/>
      <c r="Y204" s="461" t="n"/>
    </row>
    <row r="205">
      <c r="F205" s="461" t="n"/>
      <c r="J205" s="461" t="n"/>
      <c r="M205" s="461" t="n"/>
      <c r="P205" s="461" t="n"/>
      <c r="S205" s="461" t="n"/>
      <c r="V205" s="461" t="n"/>
      <c r="Y205" s="461" t="n"/>
    </row>
    <row r="206">
      <c r="F206" s="461" t="n"/>
      <c r="J206" s="461" t="n"/>
      <c r="M206" s="461" t="n"/>
      <c r="P206" s="461" t="n"/>
      <c r="S206" s="461" t="n"/>
      <c r="V206" s="461" t="n"/>
      <c r="Y206" s="461" t="n"/>
    </row>
    <row r="207">
      <c r="F207" s="461" t="n"/>
      <c r="J207" s="461" t="n"/>
      <c r="M207" s="461" t="n"/>
      <c r="P207" s="461" t="n"/>
      <c r="S207" s="461" t="n"/>
      <c r="V207" s="461" t="n"/>
      <c r="Y207" s="461" t="n"/>
    </row>
    <row r="208">
      <c r="F208" s="461" t="n"/>
      <c r="J208" s="461" t="n"/>
      <c r="M208" s="461" t="n"/>
      <c r="P208" s="461" t="n"/>
      <c r="S208" s="461" t="n"/>
      <c r="V208" s="461" t="n"/>
      <c r="Y208" s="461" t="n"/>
    </row>
    <row r="209">
      <c r="F209" s="461" t="n"/>
      <c r="J209" s="461" t="n"/>
      <c r="M209" s="461" t="n"/>
      <c r="P209" s="461" t="n"/>
      <c r="S209" s="461" t="n"/>
      <c r="V209" s="461" t="n"/>
      <c r="Y209" s="461" t="n"/>
    </row>
    <row r="210">
      <c r="F210" s="461" t="n"/>
      <c r="J210" s="461" t="n"/>
      <c r="M210" s="461" t="n"/>
      <c r="P210" s="461" t="n"/>
      <c r="S210" s="461" t="n"/>
      <c r="V210" s="461" t="n"/>
      <c r="Y210" s="461" t="n"/>
    </row>
    <row r="211">
      <c r="F211" s="461" t="n"/>
      <c r="J211" s="461" t="n"/>
      <c r="M211" s="461" t="n"/>
      <c r="P211" s="461" t="n"/>
      <c r="S211" s="461" t="n"/>
      <c r="V211" s="461" t="n"/>
      <c r="Y211" s="461" t="n"/>
    </row>
    <row r="212">
      <c r="F212" s="461" t="n"/>
      <c r="J212" s="461" t="n"/>
      <c r="M212" s="461" t="n"/>
      <c r="P212" s="461" t="n"/>
      <c r="S212" s="461" t="n"/>
      <c r="V212" s="461" t="n"/>
      <c r="Y212" s="461" t="n"/>
    </row>
    <row r="213">
      <c r="F213" s="461" t="n"/>
      <c r="J213" s="461" t="n"/>
      <c r="M213" s="461" t="n"/>
      <c r="P213" s="461" t="n"/>
      <c r="S213" s="461" t="n"/>
      <c r="V213" s="461" t="n"/>
      <c r="Y213" s="461" t="n"/>
    </row>
    <row r="214">
      <c r="F214" s="461" t="n"/>
      <c r="J214" s="461" t="n"/>
      <c r="M214" s="461" t="n"/>
      <c r="P214" s="461" t="n"/>
      <c r="S214" s="461" t="n"/>
      <c r="V214" s="461" t="n"/>
      <c r="Y214" s="461" t="n"/>
    </row>
    <row r="215">
      <c r="F215" s="461" t="n"/>
      <c r="J215" s="461" t="n"/>
      <c r="M215" s="461" t="n"/>
      <c r="P215" s="461" t="n"/>
      <c r="S215" s="461" t="n"/>
      <c r="V215" s="461" t="n"/>
      <c r="Y215" s="461" t="n"/>
    </row>
    <row r="216">
      <c r="F216" s="461" t="n"/>
      <c r="J216" s="461" t="n"/>
      <c r="M216" s="461" t="n"/>
      <c r="P216" s="461" t="n"/>
      <c r="S216" s="461" t="n"/>
      <c r="V216" s="461" t="n"/>
      <c r="Y216" s="461" t="n"/>
    </row>
    <row r="217">
      <c r="F217" s="461" t="n"/>
      <c r="J217" s="461" t="n"/>
      <c r="M217" s="461" t="n"/>
      <c r="P217" s="461" t="n"/>
      <c r="S217" s="461" t="n"/>
      <c r="V217" s="461" t="n"/>
      <c r="Y217" s="461" t="n"/>
    </row>
    <row r="218">
      <c r="F218" s="461" t="n"/>
      <c r="J218" s="461" t="n"/>
      <c r="M218" s="461" t="n"/>
      <c r="P218" s="461" t="n"/>
      <c r="S218" s="461" t="n"/>
      <c r="V218" s="461" t="n"/>
      <c r="Y218" s="461" t="n"/>
    </row>
    <row r="219">
      <c r="F219" s="461" t="n"/>
      <c r="J219" s="461" t="n"/>
      <c r="M219" s="461" t="n"/>
      <c r="P219" s="461" t="n"/>
      <c r="S219" s="461" t="n"/>
      <c r="V219" s="461" t="n"/>
      <c r="Y219" s="461" t="n"/>
    </row>
    <row r="220">
      <c r="F220" s="461" t="n"/>
      <c r="J220" s="461" t="n"/>
      <c r="M220" s="461" t="n"/>
      <c r="P220" s="461" t="n"/>
      <c r="S220" s="461" t="n"/>
      <c r="V220" s="461" t="n"/>
      <c r="Y220" s="461" t="n"/>
    </row>
    <row r="221">
      <c r="F221" s="461" t="n"/>
      <c r="J221" s="461" t="n"/>
      <c r="M221" s="461" t="n"/>
      <c r="P221" s="461" t="n"/>
      <c r="S221" s="461" t="n"/>
      <c r="V221" s="461" t="n"/>
      <c r="Y221" s="461" t="n"/>
    </row>
    <row r="222">
      <c r="F222" s="461" t="n"/>
      <c r="J222" s="461" t="n"/>
      <c r="M222" s="461" t="n"/>
      <c r="P222" s="461" t="n"/>
      <c r="S222" s="461" t="n"/>
      <c r="V222" s="461" t="n"/>
      <c r="Y222" s="461" t="n"/>
    </row>
    <row r="223">
      <c r="F223" s="461" t="n"/>
      <c r="J223" s="461" t="n"/>
      <c r="M223" s="461" t="n"/>
      <c r="P223" s="461" t="n"/>
      <c r="S223" s="461" t="n"/>
      <c r="V223" s="461" t="n"/>
      <c r="Y223" s="461" t="n"/>
    </row>
    <row r="224">
      <c r="F224" s="461" t="n"/>
      <c r="J224" s="461" t="n"/>
      <c r="M224" s="461" t="n"/>
      <c r="P224" s="461" t="n"/>
      <c r="S224" s="461" t="n"/>
      <c r="V224" s="461" t="n"/>
      <c r="Y224" s="461" t="n"/>
    </row>
    <row r="225">
      <c r="F225" s="461" t="n"/>
      <c r="J225" s="461" t="n"/>
      <c r="M225" s="461" t="n"/>
      <c r="P225" s="461" t="n"/>
      <c r="S225" s="461" t="n"/>
      <c r="V225" s="461" t="n"/>
      <c r="Y225" s="461" t="n"/>
    </row>
    <row r="226">
      <c r="F226" s="461" t="n"/>
      <c r="J226" s="461" t="n"/>
      <c r="M226" s="461" t="n"/>
      <c r="P226" s="461" t="n"/>
      <c r="S226" s="461" t="n"/>
      <c r="V226" s="461" t="n"/>
      <c r="Y226" s="461" t="n"/>
    </row>
    <row r="227">
      <c r="F227" s="461" t="n"/>
      <c r="J227" s="461" t="n"/>
      <c r="M227" s="461" t="n"/>
      <c r="P227" s="461" t="n"/>
      <c r="S227" s="461" t="n"/>
      <c r="V227" s="461" t="n"/>
      <c r="Y227" s="461" t="n"/>
    </row>
    <row r="228">
      <c r="F228" s="461" t="n"/>
      <c r="J228" s="461" t="n"/>
      <c r="M228" s="461" t="n"/>
      <c r="P228" s="461" t="n"/>
      <c r="S228" s="461" t="n"/>
      <c r="V228" s="461" t="n"/>
      <c r="Y228" s="461" t="n"/>
    </row>
    <row r="229">
      <c r="F229" s="461" t="n"/>
      <c r="J229" s="461" t="n"/>
      <c r="M229" s="461" t="n"/>
      <c r="P229" s="461" t="n"/>
      <c r="S229" s="461" t="n"/>
      <c r="V229" s="461" t="n"/>
      <c r="Y229" s="461" t="n"/>
    </row>
    <row r="230">
      <c r="F230" s="461" t="n"/>
      <c r="J230" s="461" t="n"/>
      <c r="M230" s="461" t="n"/>
      <c r="P230" s="461" t="n"/>
      <c r="S230" s="461" t="n"/>
      <c r="V230" s="461" t="n"/>
      <c r="Y230" s="461" t="n"/>
    </row>
    <row r="231">
      <c r="F231" s="461" t="n"/>
      <c r="J231" s="461" t="n"/>
      <c r="M231" s="461" t="n"/>
      <c r="P231" s="461" t="n"/>
      <c r="S231" s="461" t="n"/>
      <c r="V231" s="461" t="n"/>
      <c r="Y231" s="461" t="n"/>
    </row>
    <row r="232">
      <c r="F232" s="461" t="n"/>
      <c r="J232" s="461" t="n"/>
      <c r="M232" s="461" t="n"/>
      <c r="P232" s="461" t="n"/>
      <c r="S232" s="461" t="n"/>
      <c r="V232" s="461" t="n"/>
      <c r="Y232" s="461" t="n"/>
    </row>
    <row r="233">
      <c r="F233" s="461" t="n"/>
      <c r="J233" s="461" t="n"/>
      <c r="M233" s="461" t="n"/>
      <c r="P233" s="461" t="n"/>
      <c r="S233" s="461" t="n"/>
      <c r="V233" s="461" t="n"/>
      <c r="Y233" s="461" t="n"/>
    </row>
    <row r="234">
      <c r="F234" s="461" t="n"/>
      <c r="J234" s="461" t="n"/>
      <c r="M234" s="461" t="n"/>
      <c r="P234" s="461" t="n"/>
      <c r="S234" s="461" t="n"/>
      <c r="V234" s="461" t="n"/>
      <c r="Y234" s="461" t="n"/>
    </row>
    <row r="235">
      <c r="F235" s="461" t="n"/>
      <c r="J235" s="461" t="n"/>
      <c r="M235" s="461" t="n"/>
      <c r="P235" s="461" t="n"/>
      <c r="S235" s="461" t="n"/>
      <c r="V235" s="461" t="n"/>
      <c r="Y235" s="461" t="n"/>
    </row>
    <row r="236">
      <c r="F236" s="461" t="n"/>
      <c r="J236" s="461" t="n"/>
      <c r="M236" s="461" t="n"/>
      <c r="P236" s="461" t="n"/>
      <c r="S236" s="461" t="n"/>
      <c r="V236" s="461" t="n"/>
      <c r="Y236" s="461" t="n"/>
    </row>
    <row r="237">
      <c r="F237" s="461" t="n"/>
      <c r="J237" s="461" t="n"/>
      <c r="M237" s="461" t="n"/>
      <c r="P237" s="461" t="n"/>
      <c r="S237" s="461" t="n"/>
      <c r="V237" s="461" t="n"/>
      <c r="Y237" s="461" t="n"/>
    </row>
    <row r="238">
      <c r="F238" s="461" t="n"/>
      <c r="J238" s="461" t="n"/>
      <c r="M238" s="461" t="n"/>
      <c r="P238" s="461" t="n"/>
      <c r="S238" s="461" t="n"/>
      <c r="V238" s="461" t="n"/>
      <c r="Y238" s="461" t="n"/>
    </row>
    <row r="239">
      <c r="F239" s="461" t="n"/>
      <c r="J239" s="461" t="n"/>
      <c r="M239" s="461" t="n"/>
      <c r="P239" s="461" t="n"/>
      <c r="S239" s="461" t="n"/>
      <c r="V239" s="461" t="n"/>
      <c r="Y239" s="461" t="n"/>
    </row>
    <row r="240">
      <c r="F240" s="461" t="n"/>
      <c r="J240" s="461" t="n"/>
      <c r="M240" s="461" t="n"/>
      <c r="P240" s="461" t="n"/>
      <c r="S240" s="461" t="n"/>
      <c r="V240" s="461" t="n"/>
      <c r="Y240" s="461" t="n"/>
    </row>
    <row r="241">
      <c r="F241" s="461" t="n"/>
      <c r="J241" s="461" t="n"/>
      <c r="M241" s="461" t="n"/>
      <c r="P241" s="461" t="n"/>
      <c r="S241" s="461" t="n"/>
      <c r="V241" s="461" t="n"/>
      <c r="Y241" s="461" t="n"/>
    </row>
    <row r="242">
      <c r="F242" s="461" t="n"/>
      <c r="J242" s="461" t="n"/>
      <c r="M242" s="461" t="n"/>
      <c r="P242" s="461" t="n"/>
      <c r="S242" s="461" t="n"/>
      <c r="V242" s="461" t="n"/>
      <c r="Y242" s="461" t="n"/>
    </row>
    <row r="243">
      <c r="F243" s="461" t="n"/>
      <c r="J243" s="461" t="n"/>
      <c r="M243" s="461" t="n"/>
      <c r="P243" s="461" t="n"/>
      <c r="S243" s="461" t="n"/>
      <c r="V243" s="461" t="n"/>
      <c r="Y243" s="461" t="n"/>
    </row>
    <row r="244">
      <c r="F244" s="461" t="n"/>
      <c r="J244" s="461" t="n"/>
      <c r="M244" s="461" t="n"/>
      <c r="P244" s="461" t="n"/>
      <c r="S244" s="461" t="n"/>
      <c r="V244" s="461" t="n"/>
      <c r="Y244" s="461" t="n"/>
    </row>
    <row r="245">
      <c r="F245" s="461" t="n"/>
      <c r="J245" s="461" t="n"/>
      <c r="M245" s="461" t="n"/>
      <c r="P245" s="461" t="n"/>
      <c r="S245" s="461" t="n"/>
      <c r="V245" s="461" t="n"/>
      <c r="Y245" s="461" t="n"/>
    </row>
    <row r="246">
      <c r="F246" s="461" t="n"/>
      <c r="J246" s="461" t="n"/>
      <c r="M246" s="461" t="n"/>
      <c r="P246" s="461" t="n"/>
      <c r="S246" s="461" t="n"/>
      <c r="V246" s="461" t="n"/>
      <c r="Y246" s="461" t="n"/>
    </row>
    <row r="247">
      <c r="F247" s="461" t="n"/>
      <c r="J247" s="461" t="n"/>
      <c r="M247" s="461" t="n"/>
      <c r="P247" s="461" t="n"/>
      <c r="S247" s="461" t="n"/>
      <c r="V247" s="461" t="n"/>
      <c r="Y247" s="461" t="n"/>
    </row>
    <row r="248">
      <c r="F248" s="461" t="n"/>
      <c r="J248" s="461" t="n"/>
      <c r="M248" s="461" t="n"/>
      <c r="P248" s="461" t="n"/>
      <c r="S248" s="461" t="n"/>
      <c r="V248" s="461" t="n"/>
      <c r="Y248" s="461" t="n"/>
    </row>
    <row r="249">
      <c r="F249" s="461" t="n"/>
      <c r="J249" s="461" t="n"/>
      <c r="M249" s="461" t="n"/>
      <c r="P249" s="461" t="n"/>
      <c r="S249" s="461" t="n"/>
      <c r="V249" s="461" t="n"/>
      <c r="Y249" s="461" t="n"/>
    </row>
    <row r="250">
      <c r="F250" s="461" t="n"/>
      <c r="J250" s="461" t="n"/>
      <c r="M250" s="461" t="n"/>
      <c r="P250" s="461" t="n"/>
      <c r="S250" s="461" t="n"/>
      <c r="V250" s="461" t="n"/>
      <c r="Y250" s="461" t="n"/>
    </row>
    <row r="251">
      <c r="F251" s="461" t="n"/>
      <c r="J251" s="461" t="n"/>
      <c r="M251" s="461" t="n"/>
      <c r="P251" s="461" t="n"/>
      <c r="S251" s="461" t="n"/>
      <c r="V251" s="461" t="n"/>
      <c r="Y251" s="461" t="n"/>
    </row>
    <row r="252">
      <c r="F252" s="461" t="n"/>
      <c r="J252" s="461" t="n"/>
      <c r="M252" s="461" t="n"/>
      <c r="P252" s="461" t="n"/>
      <c r="S252" s="461" t="n"/>
      <c r="V252" s="461" t="n"/>
      <c r="Y252" s="461" t="n"/>
    </row>
    <row r="253">
      <c r="F253" s="461" t="n"/>
      <c r="J253" s="461" t="n"/>
      <c r="M253" s="461" t="n"/>
      <c r="P253" s="461" t="n"/>
      <c r="S253" s="461" t="n"/>
      <c r="V253" s="461" t="n"/>
      <c r="Y253" s="461" t="n"/>
    </row>
    <row r="254">
      <c r="F254" s="461" t="n"/>
      <c r="J254" s="461" t="n"/>
      <c r="M254" s="461" t="n"/>
      <c r="P254" s="461" t="n"/>
      <c r="S254" s="461" t="n"/>
      <c r="V254" s="461" t="n"/>
      <c r="Y254" s="461" t="n"/>
    </row>
    <row r="255">
      <c r="F255" s="461" t="n"/>
      <c r="J255" s="461" t="n"/>
      <c r="M255" s="461" t="n"/>
      <c r="P255" s="461" t="n"/>
      <c r="S255" s="461" t="n"/>
      <c r="V255" s="461" t="n"/>
      <c r="Y255" s="461" t="n"/>
    </row>
    <row r="256">
      <c r="F256" s="461" t="n"/>
      <c r="J256" s="461" t="n"/>
      <c r="M256" s="461" t="n"/>
      <c r="P256" s="461" t="n"/>
      <c r="S256" s="461" t="n"/>
      <c r="V256" s="461" t="n"/>
      <c r="Y256" s="461" t="n"/>
    </row>
    <row r="257">
      <c r="F257" s="461" t="n"/>
      <c r="J257" s="461" t="n"/>
      <c r="M257" s="461" t="n"/>
      <c r="P257" s="461" t="n"/>
      <c r="S257" s="461" t="n"/>
      <c r="V257" s="461" t="n"/>
      <c r="Y257" s="461" t="n"/>
    </row>
    <row r="258">
      <c r="F258" s="461" t="n"/>
      <c r="J258" s="461" t="n"/>
      <c r="M258" s="461" t="n"/>
      <c r="P258" s="461" t="n"/>
      <c r="S258" s="461" t="n"/>
      <c r="V258" s="461" t="n"/>
      <c r="Y258" s="461" t="n"/>
    </row>
    <row r="259">
      <c r="F259" s="461" t="n"/>
      <c r="J259" s="461" t="n"/>
      <c r="M259" s="461" t="n"/>
      <c r="P259" s="461" t="n"/>
      <c r="S259" s="461" t="n"/>
      <c r="V259" s="461" t="n"/>
      <c r="Y259" s="461" t="n"/>
    </row>
    <row r="260">
      <c r="F260" s="461" t="n"/>
      <c r="J260" s="461" t="n"/>
      <c r="M260" s="461" t="n"/>
      <c r="P260" s="461" t="n"/>
      <c r="S260" s="461" t="n"/>
      <c r="V260" s="461" t="n"/>
      <c r="Y260" s="461" t="n"/>
    </row>
    <row r="261">
      <c r="F261" s="461" t="n"/>
      <c r="J261" s="461" t="n"/>
      <c r="M261" s="461" t="n"/>
      <c r="P261" s="461" t="n"/>
      <c r="S261" s="461" t="n"/>
      <c r="V261" s="461" t="n"/>
      <c r="Y261" s="461" t="n"/>
    </row>
    <row r="262">
      <c r="F262" s="461" t="n"/>
      <c r="J262" s="461" t="n"/>
      <c r="M262" s="461" t="n"/>
      <c r="P262" s="461" t="n"/>
      <c r="S262" s="461" t="n"/>
      <c r="V262" s="461" t="n"/>
      <c r="Y262" s="461" t="n"/>
    </row>
    <row r="263">
      <c r="F263" s="461" t="n"/>
      <c r="J263" s="461" t="n"/>
      <c r="M263" s="461" t="n"/>
      <c r="P263" s="461" t="n"/>
      <c r="S263" s="461" t="n"/>
      <c r="V263" s="461" t="n"/>
      <c r="Y263" s="461" t="n"/>
    </row>
    <row r="264">
      <c r="F264" s="461" t="n"/>
      <c r="J264" s="461" t="n"/>
      <c r="M264" s="461" t="n"/>
      <c r="P264" s="461" t="n"/>
      <c r="S264" s="461" t="n"/>
      <c r="V264" s="461" t="n"/>
      <c r="Y264" s="461" t="n"/>
    </row>
    <row r="265">
      <c r="F265" s="461" t="n"/>
      <c r="J265" s="461" t="n"/>
      <c r="M265" s="461" t="n"/>
      <c r="P265" s="461" t="n"/>
      <c r="S265" s="461" t="n"/>
      <c r="V265" s="461" t="n"/>
      <c r="Y265" s="461" t="n"/>
    </row>
    <row r="266">
      <c r="F266" s="461" t="n"/>
      <c r="J266" s="461" t="n"/>
      <c r="M266" s="461" t="n"/>
      <c r="P266" s="461" t="n"/>
      <c r="S266" s="461" t="n"/>
      <c r="V266" s="461" t="n"/>
      <c r="Y266" s="461" t="n"/>
    </row>
    <row r="267">
      <c r="F267" s="461" t="n"/>
      <c r="J267" s="461" t="n"/>
      <c r="M267" s="461" t="n"/>
      <c r="P267" s="461" t="n"/>
      <c r="S267" s="461" t="n"/>
      <c r="V267" s="461" t="n"/>
      <c r="Y267" s="461" t="n"/>
    </row>
    <row r="268">
      <c r="F268" s="461" t="n"/>
      <c r="J268" s="461" t="n"/>
      <c r="M268" s="461" t="n"/>
      <c r="P268" s="461" t="n"/>
      <c r="S268" s="461" t="n"/>
      <c r="V268" s="461" t="n"/>
      <c r="Y268" s="461" t="n"/>
    </row>
    <row r="269">
      <c r="F269" s="461" t="n"/>
      <c r="J269" s="461" t="n"/>
      <c r="M269" s="461" t="n"/>
      <c r="P269" s="461" t="n"/>
      <c r="S269" s="461" t="n"/>
      <c r="V269" s="461" t="n"/>
      <c r="Y269" s="461" t="n"/>
    </row>
    <row r="270">
      <c r="F270" s="461" t="n"/>
      <c r="J270" s="461" t="n"/>
      <c r="M270" s="461" t="n"/>
      <c r="P270" s="461" t="n"/>
      <c r="S270" s="461" t="n"/>
      <c r="V270" s="461" t="n"/>
      <c r="Y270" s="461" t="n"/>
    </row>
    <row r="271">
      <c r="F271" s="461" t="n"/>
      <c r="J271" s="461" t="n"/>
      <c r="M271" s="461" t="n"/>
      <c r="P271" s="461" t="n"/>
      <c r="S271" s="461" t="n"/>
      <c r="V271" s="461" t="n"/>
      <c r="Y271" s="461" t="n"/>
    </row>
    <row r="272">
      <c r="F272" s="461" t="n"/>
      <c r="J272" s="461" t="n"/>
      <c r="M272" s="461" t="n"/>
      <c r="P272" s="461" t="n"/>
      <c r="S272" s="461" t="n"/>
      <c r="V272" s="461" t="n"/>
      <c r="Y272" s="461" t="n"/>
    </row>
    <row r="273">
      <c r="F273" s="461" t="n"/>
      <c r="J273" s="461" t="n"/>
      <c r="M273" s="461" t="n"/>
      <c r="P273" s="461" t="n"/>
      <c r="S273" s="461" t="n"/>
      <c r="V273" s="461" t="n"/>
      <c r="Y273" s="461" t="n"/>
    </row>
    <row r="274">
      <c r="F274" s="461" t="n"/>
      <c r="J274" s="461" t="n"/>
      <c r="M274" s="461" t="n"/>
      <c r="P274" s="461" t="n"/>
      <c r="S274" s="461" t="n"/>
      <c r="V274" s="461" t="n"/>
      <c r="Y274" s="461" t="n"/>
    </row>
    <row r="275">
      <c r="F275" s="461" t="n"/>
      <c r="J275" s="461" t="n"/>
      <c r="M275" s="461" t="n"/>
      <c r="P275" s="461" t="n"/>
      <c r="S275" s="461" t="n"/>
      <c r="V275" s="461" t="n"/>
      <c r="Y275" s="461" t="n"/>
    </row>
    <row r="276">
      <c r="F276" s="461" t="n"/>
      <c r="J276" s="461" t="n"/>
      <c r="M276" s="461" t="n"/>
      <c r="P276" s="461" t="n"/>
      <c r="S276" s="461" t="n"/>
      <c r="V276" s="461" t="n"/>
      <c r="Y276" s="461" t="n"/>
    </row>
    <row r="277">
      <c r="F277" s="461" t="n"/>
      <c r="J277" s="461" t="n"/>
      <c r="M277" s="461" t="n"/>
      <c r="P277" s="461" t="n"/>
      <c r="S277" s="461" t="n"/>
      <c r="V277" s="461" t="n"/>
      <c r="Y277" s="461" t="n"/>
    </row>
    <row r="278">
      <c r="F278" s="461" t="n"/>
      <c r="J278" s="461" t="n"/>
      <c r="M278" s="461" t="n"/>
      <c r="P278" s="461" t="n"/>
      <c r="S278" s="461" t="n"/>
      <c r="V278" s="461" t="n"/>
      <c r="Y278" s="461" t="n"/>
    </row>
    <row r="279">
      <c r="F279" s="461" t="n"/>
      <c r="J279" s="461" t="n"/>
      <c r="M279" s="461" t="n"/>
      <c r="P279" s="461" t="n"/>
      <c r="S279" s="461" t="n"/>
      <c r="V279" s="461" t="n"/>
      <c r="Y279" s="461" t="n"/>
    </row>
    <row r="280">
      <c r="F280" s="461" t="n"/>
      <c r="J280" s="461" t="n"/>
      <c r="M280" s="461" t="n"/>
      <c r="P280" s="461" t="n"/>
      <c r="S280" s="461" t="n"/>
      <c r="V280" s="461" t="n"/>
      <c r="Y280" s="461" t="n"/>
    </row>
    <row r="281">
      <c r="F281" s="461" t="n"/>
      <c r="J281" s="461" t="n"/>
      <c r="M281" s="461" t="n"/>
      <c r="P281" s="461" t="n"/>
      <c r="S281" s="461" t="n"/>
      <c r="V281" s="461" t="n"/>
      <c r="Y281" s="461" t="n"/>
    </row>
    <row r="282">
      <c r="F282" s="461" t="n"/>
      <c r="J282" s="461" t="n"/>
      <c r="M282" s="461" t="n"/>
      <c r="P282" s="461" t="n"/>
      <c r="S282" s="461" t="n"/>
      <c r="V282" s="461" t="n"/>
      <c r="Y282" s="461" t="n"/>
    </row>
    <row r="283">
      <c r="F283" s="461" t="n"/>
      <c r="J283" s="461" t="n"/>
      <c r="M283" s="461" t="n"/>
      <c r="P283" s="461" t="n"/>
      <c r="S283" s="461" t="n"/>
      <c r="V283" s="461" t="n"/>
      <c r="Y283" s="461" t="n"/>
    </row>
    <row r="284">
      <c r="F284" s="461" t="n"/>
      <c r="J284" s="461" t="n"/>
      <c r="M284" s="461" t="n"/>
      <c r="P284" s="461" t="n"/>
      <c r="S284" s="461" t="n"/>
      <c r="V284" s="461" t="n"/>
      <c r="Y284" s="461" t="n"/>
    </row>
    <row r="285">
      <c r="F285" s="461" t="n"/>
      <c r="J285" s="461" t="n"/>
      <c r="M285" s="461" t="n"/>
      <c r="P285" s="461" t="n"/>
      <c r="S285" s="461" t="n"/>
      <c r="V285" s="461" t="n"/>
      <c r="Y285" s="461" t="n"/>
    </row>
    <row r="286">
      <c r="F286" s="461" t="n"/>
      <c r="J286" s="461" t="n"/>
      <c r="M286" s="461" t="n"/>
      <c r="P286" s="461" t="n"/>
      <c r="S286" s="461" t="n"/>
      <c r="V286" s="461" t="n"/>
      <c r="Y286" s="461" t="n"/>
    </row>
    <row r="287">
      <c r="F287" s="461" t="n"/>
      <c r="J287" s="461" t="n"/>
      <c r="M287" s="461" t="n"/>
      <c r="P287" s="461" t="n"/>
      <c r="S287" s="461" t="n"/>
      <c r="V287" s="461" t="n"/>
      <c r="Y287" s="461" t="n"/>
    </row>
    <row r="288">
      <c r="F288" s="461" t="n"/>
      <c r="J288" s="461" t="n"/>
      <c r="M288" s="461" t="n"/>
      <c r="P288" s="461" t="n"/>
      <c r="S288" s="461" t="n"/>
      <c r="V288" s="461" t="n"/>
      <c r="Y288" s="461" t="n"/>
    </row>
    <row r="289">
      <c r="F289" s="461" t="n"/>
      <c r="J289" s="461" t="n"/>
      <c r="M289" s="461" t="n"/>
      <c r="P289" s="461" t="n"/>
      <c r="S289" s="461" t="n"/>
      <c r="V289" s="461" t="n"/>
      <c r="Y289" s="461" t="n"/>
    </row>
    <row r="290">
      <c r="F290" s="461" t="n"/>
      <c r="J290" s="461" t="n"/>
      <c r="M290" s="461" t="n"/>
      <c r="P290" s="461" t="n"/>
      <c r="S290" s="461" t="n"/>
      <c r="V290" s="461" t="n"/>
      <c r="Y290" s="461" t="n"/>
    </row>
    <row r="291">
      <c r="F291" s="461" t="n"/>
      <c r="J291" s="461" t="n"/>
      <c r="M291" s="461" t="n"/>
      <c r="P291" s="461" t="n"/>
      <c r="S291" s="461" t="n"/>
      <c r="V291" s="461" t="n"/>
      <c r="Y291" s="461" t="n"/>
    </row>
    <row r="292">
      <c r="F292" s="461" t="n"/>
      <c r="J292" s="461" t="n"/>
      <c r="M292" s="461" t="n"/>
      <c r="P292" s="461" t="n"/>
      <c r="S292" s="461" t="n"/>
      <c r="V292" s="461" t="n"/>
      <c r="Y292" s="461" t="n"/>
    </row>
    <row r="293">
      <c r="F293" s="461" t="n"/>
      <c r="J293" s="461" t="n"/>
      <c r="M293" s="461" t="n"/>
      <c r="P293" s="461" t="n"/>
      <c r="S293" s="461" t="n"/>
      <c r="V293" s="461" t="n"/>
      <c r="Y293" s="461" t="n"/>
    </row>
    <row r="294">
      <c r="F294" s="461" t="n"/>
      <c r="J294" s="461" t="n"/>
      <c r="M294" s="461" t="n"/>
      <c r="P294" s="461" t="n"/>
      <c r="S294" s="461" t="n"/>
      <c r="V294" s="461" t="n"/>
      <c r="Y294" s="461" t="n"/>
    </row>
    <row r="295">
      <c r="F295" s="461" t="n"/>
      <c r="J295" s="461" t="n"/>
      <c r="M295" s="461" t="n"/>
      <c r="P295" s="461" t="n"/>
      <c r="S295" s="461" t="n"/>
      <c r="V295" s="461" t="n"/>
      <c r="Y295" s="461" t="n"/>
    </row>
    <row r="296">
      <c r="F296" s="461" t="n"/>
      <c r="J296" s="461" t="n"/>
      <c r="M296" s="461" t="n"/>
      <c r="P296" s="461" t="n"/>
      <c r="S296" s="461" t="n"/>
      <c r="V296" s="461" t="n"/>
      <c r="Y296" s="461" t="n"/>
    </row>
    <row r="297">
      <c r="F297" s="461" t="n"/>
      <c r="J297" s="461" t="n"/>
      <c r="M297" s="461" t="n"/>
      <c r="P297" s="461" t="n"/>
      <c r="S297" s="461" t="n"/>
      <c r="V297" s="461" t="n"/>
      <c r="Y297" s="461" t="n"/>
    </row>
    <row r="298">
      <c r="F298" s="461" t="n"/>
      <c r="J298" s="461" t="n"/>
      <c r="M298" s="461" t="n"/>
      <c r="P298" s="461" t="n"/>
      <c r="S298" s="461" t="n"/>
      <c r="V298" s="461" t="n"/>
      <c r="Y298" s="461" t="n"/>
    </row>
    <row r="299">
      <c r="F299" s="461" t="n"/>
      <c r="J299" s="461" t="n"/>
      <c r="M299" s="461" t="n"/>
      <c r="P299" s="461" t="n"/>
      <c r="S299" s="461" t="n"/>
      <c r="V299" s="461" t="n"/>
      <c r="Y299" s="461" t="n"/>
    </row>
    <row r="300">
      <c r="F300" s="461" t="n"/>
      <c r="J300" s="461" t="n"/>
      <c r="M300" s="461" t="n"/>
      <c r="P300" s="461" t="n"/>
      <c r="S300" s="461" t="n"/>
      <c r="V300" s="461" t="n"/>
      <c r="Y300" s="461" t="n"/>
    </row>
    <row r="301">
      <c r="F301" s="461" t="n"/>
      <c r="J301" s="461" t="n"/>
      <c r="M301" s="461" t="n"/>
      <c r="P301" s="461" t="n"/>
      <c r="S301" s="461" t="n"/>
      <c r="V301" s="461" t="n"/>
      <c r="Y301" s="461" t="n"/>
    </row>
  </sheetData>
  <mergeCells count="71">
    <mergeCell ref="P4:Q4"/>
    <mergeCell ref="AD3:AE3"/>
    <mergeCell ref="AF3:AG3"/>
    <mergeCell ref="AX4:AY4"/>
    <mergeCell ref="F22:G23"/>
    <mergeCell ref="AH3:AI3"/>
    <mergeCell ref="AN3:AO3"/>
    <mergeCell ref="BH4:BI4"/>
    <mergeCell ref="I30:I31"/>
    <mergeCell ref="BJ4:BK4"/>
    <mergeCell ref="AP3:AQ3"/>
    <mergeCell ref="BB3:BC3"/>
    <mergeCell ref="I17:I19"/>
    <mergeCell ref="B47:I47"/>
    <mergeCell ref="B150:I150"/>
    <mergeCell ref="AB4:AC4"/>
    <mergeCell ref="R4:S4"/>
    <mergeCell ref="T4:U4"/>
    <mergeCell ref="AT3:AU3"/>
    <mergeCell ref="L3:M3"/>
    <mergeCell ref="BF3:BG3"/>
    <mergeCell ref="BD3:BE3"/>
    <mergeCell ref="BP4:BQ4"/>
    <mergeCell ref="AH4:AI4"/>
    <mergeCell ref="AN4:AO4"/>
    <mergeCell ref="BH3:BI3"/>
    <mergeCell ref="BN3:BO3"/>
    <mergeCell ref="AV3:AW3"/>
    <mergeCell ref="BP3:BQ3"/>
    <mergeCell ref="BR3:BS3"/>
    <mergeCell ref="N3:O3"/>
    <mergeCell ref="AB3:AC3"/>
    <mergeCell ref="AR4:AS4"/>
    <mergeCell ref="X3:Y3"/>
    <mergeCell ref="I22:I27"/>
    <mergeCell ref="AT4:AU4"/>
    <mergeCell ref="AZ4:BA4"/>
    <mergeCell ref="Z3:AA3"/>
    <mergeCell ref="AV4:AW4"/>
    <mergeCell ref="BB4:BC4"/>
    <mergeCell ref="J4:K4"/>
    <mergeCell ref="BD4:BE4"/>
    <mergeCell ref="AJ3:AK3"/>
    <mergeCell ref="L4:M4"/>
    <mergeCell ref="AL3:AM3"/>
    <mergeCell ref="BL4:BM4"/>
    <mergeCell ref="BF4:BG4"/>
    <mergeCell ref="BN4:BO4"/>
    <mergeCell ref="AF4:AG4"/>
    <mergeCell ref="F26:G39"/>
    <mergeCell ref="R3:S3"/>
    <mergeCell ref="I6:I16"/>
    <mergeCell ref="X4:Y4"/>
    <mergeCell ref="J3:K3"/>
    <mergeCell ref="BR4:BS4"/>
    <mergeCell ref="Z4:AA4"/>
    <mergeCell ref="AJ4:AK4"/>
    <mergeCell ref="BJ3:BK3"/>
    <mergeCell ref="AL4:AM4"/>
    <mergeCell ref="BL3:BM3"/>
    <mergeCell ref="AX3:AY3"/>
    <mergeCell ref="AZ3:BA3"/>
    <mergeCell ref="P3:Q3"/>
    <mergeCell ref="F18:G19"/>
    <mergeCell ref="AP4:AQ4"/>
    <mergeCell ref="AR3:AS3"/>
    <mergeCell ref="V4:W4"/>
    <mergeCell ref="T3:U3"/>
    <mergeCell ref="AD4:AE4"/>
    <mergeCell ref="V3:W3"/>
    <mergeCell ref="N4:O4"/>
  </mergeCells>
  <conditionalFormatting sqref="A47:A68 G47:XFD68">
    <cfRule type="cellIs" priority="214" operator="equal" dxfId="5" stopIfTrue="1">
      <formula>"Sat"</formula>
    </cfRule>
    <cfRule type="cellIs" priority="215" operator="equal" dxfId="0" stopIfTrue="1">
      <formula>"Sun"</formula>
    </cfRule>
  </conditionalFormatting>
  <conditionalFormatting sqref="A1:H2 A3:I4 A5:A44 A45:XFD46 A69:XFD65535 B5:H5 B35:E44 E19:E24 E25:F26 E27:E34 F6:G14 F17:G17 F20:G21 F22 F40:G44 H6:H44 I2 I5:I6 I9 I17 I42:I44 J5:BS16 BT1:IV44">
    <cfRule type="cellIs" priority="633" operator="equal" dxfId="0" stopIfTrue="1">
      <formula>"Sun"</formula>
    </cfRule>
  </conditionalFormatting>
  <conditionalFormatting sqref="A1:H2 A3:I4 A5:A44 A45:XFD46 A69:XFD65535 B5:H5 B35:E44 E19:E24 E25:F26 E27:E34 F6:G14 F17:G17 F20:G21 F22 F40:G44 H6:H44 I2 I5:I6 I9 J5:BS16 BT1:IV44">
    <cfRule type="cellIs" priority="632" operator="equal" dxfId="5" stopIfTrue="1">
      <formula>"Sat"</formula>
    </cfRule>
  </conditionalFormatting>
  <conditionalFormatting sqref="B18:B32">
    <cfRule type="cellIs" priority="52" operator="equal" dxfId="0" stopIfTrue="1">
      <formula>"Sun"</formula>
    </cfRule>
    <cfRule type="cellIs" priority="51" operator="equal" dxfId="5" stopIfTrue="1">
      <formula>"Sat"</formula>
    </cfRule>
  </conditionalFormatting>
  <conditionalFormatting sqref="B33:D34">
    <cfRule type="cellIs" priority="127" operator="equal" dxfId="0" stopIfTrue="1">
      <formula>"Sun"</formula>
    </cfRule>
    <cfRule type="cellIs" priority="126" operator="equal" dxfId="5" stopIfTrue="1">
      <formula>"Sat"</formula>
    </cfRule>
  </conditionalFormatting>
  <conditionalFormatting sqref="B6:E17">
    <cfRule type="cellIs" priority="527" operator="equal" dxfId="0" stopIfTrue="1">
      <formula>"Sun"</formula>
    </cfRule>
    <cfRule type="cellIs" priority="526" operator="equal" dxfId="5" stopIfTrue="1">
      <formula>"Sat"</formula>
    </cfRule>
  </conditionalFormatting>
  <conditionalFormatting sqref="C27">
    <cfRule type="cellIs" priority="27" operator="equal" dxfId="5" stopIfTrue="1">
      <formula>"Sat"</formula>
    </cfRule>
    <cfRule type="cellIs" priority="28" operator="equal" dxfId="0" stopIfTrue="1">
      <formula>"Sun"</formula>
    </cfRule>
  </conditionalFormatting>
  <conditionalFormatting sqref="C29:C30">
    <cfRule type="cellIs" priority="15" operator="equal" dxfId="5" stopIfTrue="1">
      <formula>"Sat"</formula>
    </cfRule>
    <cfRule type="cellIs" priority="16" operator="equal" dxfId="0" stopIfTrue="1">
      <formula>"Sun"</formula>
    </cfRule>
  </conditionalFormatting>
  <conditionalFormatting sqref="C19:D19">
    <cfRule type="cellIs" priority="37" operator="equal" dxfId="5" stopIfTrue="1">
      <formula>"Sat"</formula>
    </cfRule>
    <cfRule type="cellIs" priority="38" operator="equal" dxfId="0" stopIfTrue="1">
      <formula>"Sun"</formula>
    </cfRule>
  </conditionalFormatting>
  <conditionalFormatting sqref="C21:D22">
    <cfRule type="cellIs" priority="21" operator="equal" dxfId="5" stopIfTrue="1">
      <formula>"Sat"</formula>
    </cfRule>
    <cfRule type="cellIs" priority="22" operator="equal" dxfId="0" stopIfTrue="1">
      <formula>"Sun"</formula>
    </cfRule>
  </conditionalFormatting>
  <conditionalFormatting sqref="C24:D24">
    <cfRule type="cellIs" priority="25" operator="equal" dxfId="5" stopIfTrue="1">
      <formula>"Sat"</formula>
    </cfRule>
    <cfRule type="cellIs" priority="26" operator="equal" dxfId="0" stopIfTrue="1">
      <formula>"Sun"</formula>
    </cfRule>
  </conditionalFormatting>
  <conditionalFormatting sqref="C26:D26">
    <cfRule type="cellIs" priority="39" operator="equal" dxfId="5" stopIfTrue="1">
      <formula>"Sat"</formula>
    </cfRule>
    <cfRule type="cellIs" priority="40" operator="equal" dxfId="0" stopIfTrue="1">
      <formula>"Sun"</formula>
    </cfRule>
  </conditionalFormatting>
  <conditionalFormatting sqref="C31:D32">
    <cfRule type="cellIs" priority="41" operator="equal" dxfId="5" stopIfTrue="1">
      <formula>"Sat"</formula>
    </cfRule>
    <cfRule type="cellIs" priority="42" operator="equal" dxfId="0" stopIfTrue="1">
      <formula>"Sun"</formula>
    </cfRule>
  </conditionalFormatting>
  <conditionalFormatting sqref="C18:F18">
    <cfRule type="cellIs" priority="18" operator="equal" dxfId="0" stopIfTrue="1">
      <formula>"Sun"</formula>
    </cfRule>
    <cfRule type="cellIs" priority="17" operator="equal" dxfId="5" stopIfTrue="1">
      <formula>"Sat"</formula>
    </cfRule>
  </conditionalFormatting>
  <conditionalFormatting sqref="D27:D28">
    <cfRule type="cellIs" priority="43" operator="equal" dxfId="5" stopIfTrue="1">
      <formula>"Sat"</formula>
    </cfRule>
    <cfRule type="cellIs" priority="44" operator="equal" dxfId="0" stopIfTrue="1">
      <formula>"Sun"</formula>
    </cfRule>
  </conditionalFormatting>
  <conditionalFormatting sqref="E59">
    <cfRule type="cellIs" priority="14" operator="equal" dxfId="0" stopIfTrue="1">
      <formula>"Sun"</formula>
    </cfRule>
    <cfRule type="cellIs" priority="13" operator="equal" dxfId="5" stopIfTrue="1">
      <formula>"Sat"</formula>
    </cfRule>
  </conditionalFormatting>
  <conditionalFormatting sqref="I20:I37">
    <cfRule type="cellIs" priority="596" operator="equal" dxfId="5" stopIfTrue="1">
      <formula>"Sat"</formula>
    </cfRule>
    <cfRule type="cellIs" priority="597" operator="equal" dxfId="0" stopIfTrue="1">
      <formula>"Sun"</formula>
    </cfRule>
  </conditionalFormatting>
  <conditionalFormatting sqref="I17:BS17">
    <cfRule type="cellIs" priority="6" operator="equal" dxfId="5" stopIfTrue="1">
      <formula>"Sat"</formula>
    </cfRule>
  </conditionalFormatting>
  <conditionalFormatting sqref="I42:BS44">
    <cfRule type="cellIs" priority="172" operator="equal" dxfId="5" stopIfTrue="1">
      <formula>"Sat"</formula>
    </cfRule>
  </conditionalFormatting>
  <conditionalFormatting sqref="J37:M40 J41:BS41">
    <cfRule type="cellIs" priority="55" operator="equal" dxfId="5" stopIfTrue="1">
      <formula>"Sat"</formula>
    </cfRule>
  </conditionalFormatting>
  <conditionalFormatting sqref="J37:M40">
    <cfRule type="cellIs" priority="56" operator="equal" dxfId="0" stopIfTrue="1">
      <formula>"Sun"</formula>
    </cfRule>
  </conditionalFormatting>
  <conditionalFormatting sqref="J32:Z32 J33:BR36 K32:L38">
    <cfRule type="cellIs" priority="54" operator="equal" dxfId="0" stopIfTrue="1">
      <formula>"Sun"</formula>
    </cfRule>
  </conditionalFormatting>
  <conditionalFormatting sqref="J22:AO24">
    <cfRule type="cellIs" priority="12" operator="equal" dxfId="0" stopIfTrue="1">
      <formula>"Sun"</formula>
    </cfRule>
  </conditionalFormatting>
  <conditionalFormatting sqref="J25:AO26 S25:T31">
    <cfRule type="cellIs" priority="75" operator="equal" dxfId="0" stopIfTrue="1">
      <formula>"Sun"</formula>
    </cfRule>
  </conditionalFormatting>
  <conditionalFormatting sqref="J27:BR31">
    <cfRule type="cellIs" priority="10" operator="equal" dxfId="0" stopIfTrue="1">
      <formula>"Sun"</formula>
    </cfRule>
  </conditionalFormatting>
  <conditionalFormatting sqref="J17:BS21">
    <cfRule type="cellIs" priority="61" operator="equal" dxfId="0" stopIfTrue="1">
      <formula>"Sun"</formula>
    </cfRule>
  </conditionalFormatting>
  <conditionalFormatting sqref="J18:BS31">
    <cfRule type="cellIs" priority="4" operator="equal" dxfId="5" stopIfTrue="1">
      <formula>"Sat"</formula>
    </cfRule>
  </conditionalFormatting>
  <conditionalFormatting sqref="J32:BS36">
    <cfRule type="cellIs" priority="1" operator="equal" dxfId="5" stopIfTrue="1">
      <formula>"Sat"</formula>
    </cfRule>
  </conditionalFormatting>
  <conditionalFormatting sqref="J41:BS44">
    <cfRule type="cellIs" priority="173" operator="equal" dxfId="0" stopIfTrue="1">
      <formula>"Sun"</formula>
    </cfRule>
  </conditionalFormatting>
  <conditionalFormatting sqref="K32:L38">
    <cfRule type="cellIs" priority="53" operator="equal" dxfId="5" stopIfTrue="1">
      <formula>"Sat"</formula>
    </cfRule>
  </conditionalFormatting>
  <conditionalFormatting sqref="N37:BS40">
    <cfRule type="cellIs" priority="7" operator="equal" dxfId="5" stopIfTrue="1">
      <formula>"Sat"</formula>
    </cfRule>
    <cfRule type="cellIs" priority="8" operator="equal" dxfId="0" stopIfTrue="1">
      <formula>"Sun"</formula>
    </cfRule>
  </conditionalFormatting>
  <conditionalFormatting sqref="S25:T31">
    <cfRule type="cellIs" priority="74" operator="equal" dxfId="5" stopIfTrue="1">
      <formula>"Sat"</formula>
    </cfRule>
  </conditionalFormatting>
  <conditionalFormatting sqref="AA32:BR32">
    <cfRule type="cellIs" priority="2" operator="equal" dxfId="0" stopIfTrue="1">
      <formula>"Sun"</formula>
    </cfRule>
  </conditionalFormatting>
  <conditionalFormatting sqref="AN25">
    <cfRule type="cellIs" priority="3" operator="equal" dxfId="0" stopIfTrue="1">
      <formula>"Sun"</formula>
    </cfRule>
  </conditionalFormatting>
  <conditionalFormatting sqref="AP23:BR26">
    <cfRule type="cellIs" priority="5" operator="equal" dxfId="0" stopIfTrue="1">
      <formula>"Sun"</formula>
    </cfRule>
  </conditionalFormatting>
  <conditionalFormatting sqref="AP22:BS22">
    <cfRule type="cellIs" priority="169" operator="equal" dxfId="0" stopIfTrue="1">
      <formula>"Sun"</formula>
    </cfRule>
  </conditionalFormatting>
  <conditionalFormatting sqref="BS23:BS36">
    <cfRule type="cellIs" priority="183" operator="equal" dxfId="0" stopIfTrue="1">
      <formula>"Sun"</formula>
    </cfRule>
  </conditionalFormatting>
  <hyperlinks>
    <hyperlink ref="F4" location="'Annual Summary'!F5" display="Back to Annual Summary"/>
  </hyperlinks>
  <pageMargins left="0.6299212598425197" right="0.6299212598425197" top="0.7874015748031497" bottom="0.7874015748031497" header="0.3543307086614174" footer="0.1968503937007874"/>
  <pageSetup orientation="landscape" paperSize="9" scale="85" horizontalDpi="300" verticalDpi="300"/>
  <colBreaks count="5" manualBreakCount="5">
    <brk id="8" min="0" max="1048575" man="1"/>
    <brk id="23" min="0" max="1048575" man="1"/>
    <brk id="37" min="0" max="1048575" man="1"/>
    <brk id="51" min="0" max="1048575" man="1"/>
    <brk id="65" min="0" max="1048575" man="1"/>
  </colBreaks>
  <legacyDrawing xmlns:r="http://schemas.openxmlformats.org/officeDocument/2006/relationships" r:id="anysvml"/>
</worksheet>
</file>

<file path=xl/worksheets/sheet14.xml><?xml version="1.0" encoding="utf-8"?>
<worksheet xmlns="http://schemas.openxmlformats.org/spreadsheetml/2006/main">
  <sheetPr>
    <tabColor indexed="10"/>
    <outlinePr summaryBelow="1" summaryRight="1"/>
    <pageSetUpPr/>
  </sheetPr>
  <dimension ref="B1:G34"/>
  <sheetViews>
    <sheetView zoomScale="80" workbookViewId="0">
      <selection activeCell="BL31" sqref="BL31"/>
    </sheetView>
  </sheetViews>
  <sheetFormatPr baseColWidth="8" defaultColWidth="8.90625" defaultRowHeight="13.5"/>
  <cols>
    <col width="1.08984375" customWidth="1" style="343" min="1" max="1"/>
    <col width="14" customWidth="1" style="344" min="2" max="2"/>
    <col width="15.6328125" customWidth="1" style="343" min="3" max="3"/>
    <col width="8.90625" customWidth="1" style="343" min="4" max="5"/>
    <col width="14" customWidth="1" style="344" min="6" max="6"/>
    <col width="15.6328125" customWidth="1" style="343" min="7" max="7"/>
    <col width="8.90625" customWidth="1" style="343" min="8" max="8"/>
    <col width="8.90625" customWidth="1" style="343" min="9" max="16384"/>
  </cols>
  <sheetData>
    <row r="1" ht="78.75" customHeight="1" s="304" thickBot="1">
      <c r="B1" s="342" t="inlineStr">
        <is>
          <t>[How to use the Holidays sheet]
Note 1: Enter the date and description of each public holiday, company holiday and anniversary.
Note 2: If there is nothing to enter, leave the cells empty.
Note 3: The year of each date must match the year on the Annual Summary sheet, otherwise it will not display.</t>
        </is>
      </c>
    </row>
    <row r="2" ht="16.5" customHeight="1" s="304" thickBot="1">
      <c r="B2" s="337" t="inlineStr">
        <is>
          <t>Back to Annual Summary</t>
        </is>
      </c>
      <c r="C2" s="309" t="n"/>
      <c r="D2" s="309" t="n"/>
      <c r="E2" s="309" t="n"/>
      <c r="F2" s="309" t="n"/>
      <c r="G2" s="338" t="n"/>
    </row>
    <row r="3" ht="15" customHeight="1" s="304" thickBot="1">
      <c r="B3" s="340" t="inlineStr">
        <is>
          <t>Public Holidays &amp; Company Holidays</t>
        </is>
      </c>
      <c r="C3" s="341" t="n"/>
      <c r="F3" s="335" t="inlineStr">
        <is>
          <t>Anniversary</t>
        </is>
      </c>
      <c r="G3" s="336" t="n"/>
    </row>
    <row r="4" ht="15" customHeight="1" s="304" thickBot="1">
      <c r="B4" s="255" t="inlineStr">
        <is>
          <t>Date (Y/M/D)</t>
        </is>
      </c>
      <c r="C4" s="256" t="inlineStr">
        <is>
          <t>Description</t>
        </is>
      </c>
      <c r="F4" s="255" t="inlineStr">
        <is>
          <t>Date (Y/M/D)</t>
        </is>
      </c>
      <c r="G4" s="256" t="inlineStr">
        <is>
          <t>Description</t>
        </is>
      </c>
    </row>
    <row r="5" ht="14" customHeight="1" s="304">
      <c r="B5" s="440" t="n"/>
      <c r="C5" s="258" t="n"/>
      <c r="F5" s="441" t="n"/>
      <c r="G5" s="260" t="n"/>
    </row>
    <row r="6" ht="14" customHeight="1" s="304">
      <c r="B6" s="442" t="n"/>
      <c r="C6" s="262" t="n"/>
      <c r="F6" s="443" t="n"/>
      <c r="G6" s="264" t="n"/>
    </row>
    <row r="7" ht="14" customHeight="1" s="304">
      <c r="B7" s="442" t="n"/>
      <c r="C7" s="262" t="n"/>
      <c r="F7" s="443" t="n"/>
      <c r="G7" s="264" t="n"/>
    </row>
    <row r="8" ht="14" customHeight="1" s="304">
      <c r="B8" s="442" t="n"/>
      <c r="C8" s="262" t="n"/>
      <c r="F8" s="443" t="n"/>
      <c r="G8" s="264" t="n"/>
    </row>
    <row r="9" ht="14" customHeight="1" s="304">
      <c r="B9" s="442" t="n"/>
      <c r="C9" s="262" t="n"/>
      <c r="F9" s="443" t="n"/>
      <c r="G9" s="264" t="n"/>
    </row>
    <row r="10" ht="14" customHeight="1" s="304">
      <c r="B10" s="442" t="n"/>
      <c r="C10" s="262" t="n"/>
      <c r="F10" s="443" t="n"/>
      <c r="G10" s="264" t="n"/>
    </row>
    <row r="11" ht="14" customHeight="1" s="304">
      <c r="B11" s="442" t="n"/>
      <c r="C11" s="262" t="n"/>
      <c r="F11" s="443" t="n"/>
      <c r="G11" s="264" t="n"/>
    </row>
    <row r="12" ht="14" customHeight="1" s="304">
      <c r="B12" s="442" t="n"/>
      <c r="C12" s="262" t="n"/>
      <c r="F12" s="443" t="n"/>
      <c r="G12" s="264" t="n"/>
    </row>
    <row r="13" ht="14" customHeight="1" s="304">
      <c r="B13" s="442" t="n"/>
      <c r="C13" s="262" t="n"/>
      <c r="F13" s="443" t="n"/>
      <c r="G13" s="264" t="n"/>
    </row>
    <row r="14" ht="14" customHeight="1" s="304">
      <c r="B14" s="442" t="n"/>
      <c r="C14" s="265" t="n"/>
      <c r="F14" s="443" t="n"/>
      <c r="G14" s="264" t="n"/>
    </row>
    <row r="15" ht="14" customHeight="1" s="304">
      <c r="B15" s="442" t="n"/>
      <c r="C15" s="262" t="n"/>
      <c r="F15" s="443" t="n"/>
      <c r="G15" s="264" t="n"/>
    </row>
    <row r="16" ht="14" customHeight="1" s="304">
      <c r="B16" s="442" t="n"/>
      <c r="C16" s="262" t="n"/>
      <c r="F16" s="443" t="n"/>
      <c r="G16" s="264" t="n"/>
    </row>
    <row r="17" ht="14" customHeight="1" s="304">
      <c r="B17" s="442" t="n"/>
      <c r="C17" s="265" t="n"/>
      <c r="F17" s="443" t="n"/>
      <c r="G17" s="264" t="n"/>
    </row>
    <row r="18" ht="14" customHeight="1" s="304">
      <c r="B18" s="442" t="n"/>
      <c r="C18" s="262" t="n"/>
      <c r="F18" s="443" t="n"/>
      <c r="G18" s="264" t="n"/>
    </row>
    <row r="19" ht="14" customHeight="1" s="304">
      <c r="B19" s="442" t="n"/>
      <c r="C19" s="262" t="n"/>
      <c r="F19" s="443" t="n"/>
      <c r="G19" s="264" t="n"/>
    </row>
    <row r="20" ht="14" customHeight="1" s="304">
      <c r="B20" s="442" t="n"/>
      <c r="C20" s="262" t="n"/>
      <c r="F20" s="443" t="n"/>
      <c r="G20" s="264" t="n"/>
    </row>
    <row r="21" ht="14" customHeight="1" s="304">
      <c r="B21" s="442" t="n"/>
      <c r="C21" s="262" t="n"/>
      <c r="F21" s="443" t="n"/>
      <c r="G21" s="264" t="n"/>
    </row>
    <row r="22" ht="14" customHeight="1" s="304">
      <c r="B22" s="442" t="n"/>
      <c r="C22" s="262" t="n"/>
      <c r="F22" s="443" t="n"/>
      <c r="G22" s="264" t="n"/>
    </row>
    <row r="23" ht="14" customHeight="1" s="304">
      <c r="B23" s="442" t="n"/>
      <c r="C23" s="262" t="n"/>
      <c r="F23" s="443" t="n"/>
      <c r="G23" s="264" t="n"/>
    </row>
    <row r="24" ht="14" customHeight="1" s="304">
      <c r="B24" s="442" t="n"/>
      <c r="C24" s="262" t="n"/>
      <c r="F24" s="443" t="n"/>
      <c r="G24" s="264" t="n"/>
    </row>
    <row r="25" ht="14" customHeight="1" s="304">
      <c r="B25" s="442" t="n"/>
      <c r="C25" s="262" t="n"/>
      <c r="F25" s="443" t="n"/>
      <c r="G25" s="264" t="n"/>
    </row>
    <row r="26" ht="14" customHeight="1" s="304">
      <c r="B26" s="442" t="n"/>
      <c r="C26" s="262" t="n"/>
      <c r="F26" s="443" t="n"/>
      <c r="G26" s="264" t="n"/>
    </row>
    <row r="27" ht="14" customHeight="1" s="304">
      <c r="B27" s="442" t="n"/>
      <c r="C27" s="262" t="n"/>
      <c r="F27" s="443" t="n"/>
      <c r="G27" s="264" t="n"/>
    </row>
    <row r="28" ht="14" customHeight="1" s="304">
      <c r="B28" s="442" t="n"/>
      <c r="C28" s="262" t="n"/>
      <c r="F28" s="443" t="n"/>
      <c r="G28" s="264" t="n"/>
    </row>
    <row r="29" ht="14" customHeight="1" s="304">
      <c r="B29" s="442" t="n"/>
      <c r="C29" s="262" t="n"/>
      <c r="F29" s="443" t="n"/>
      <c r="G29" s="264" t="n"/>
    </row>
    <row r="30" ht="14" customHeight="1" s="304">
      <c r="B30" s="442" t="n"/>
      <c r="C30" s="262" t="n"/>
      <c r="F30" s="443" t="n"/>
      <c r="G30" s="264" t="n"/>
    </row>
    <row r="31" ht="14" customHeight="1" s="304">
      <c r="B31" s="442" t="n"/>
      <c r="C31" s="262" t="n"/>
      <c r="F31" s="443" t="n"/>
      <c r="G31" s="264" t="n"/>
    </row>
    <row r="32" ht="14" customHeight="1" s="304">
      <c r="B32" s="442" t="n"/>
      <c r="C32" s="262" t="n"/>
      <c r="F32" s="443" t="n"/>
      <c r="G32" s="264" t="n"/>
    </row>
    <row r="33" ht="15" customHeight="1" s="304" thickBot="1">
      <c r="B33" s="444" t="n"/>
      <c r="C33" s="267" t="n"/>
      <c r="F33" s="445" t="n"/>
      <c r="G33" s="269" t="n"/>
    </row>
    <row r="34" ht="15" customHeight="1" s="304" thickBot="1">
      <c r="B34" s="339" t="inlineStr">
        <is>
          <t>Back to Annual Summary</t>
        </is>
      </c>
      <c r="C34" s="309" t="n"/>
      <c r="D34" s="309" t="n"/>
      <c r="E34" s="309" t="n"/>
      <c r="F34" s="309" t="n"/>
      <c r="G34" s="338" t="n"/>
    </row>
  </sheetData>
  <mergeCells count="5">
    <mergeCell ref="F3:G3"/>
    <mergeCell ref="B2:G2"/>
    <mergeCell ref="B34:G34"/>
    <mergeCell ref="B3:C3"/>
    <mergeCell ref="B1:G1"/>
  </mergeCells>
  <hyperlinks>
    <hyperlink ref="B2" location="'Annual Summary'!F6" display="Back to Annual Summary"/>
    <hyperlink ref="B34" location="'Annual Summary'!F6" display="Back to Annual Summary"/>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9"/>
  <sheetViews>
    <sheetView workbookViewId="0">
      <pane ySplit="2" topLeftCell="A3" activePane="bottomLeft" state="frozen"/>
      <selection pane="bottomLeft" activeCell="A1" sqref="A1"/>
    </sheetView>
  </sheetViews>
  <sheetFormatPr baseColWidth="8" defaultRowHeight="15"/>
  <cols>
    <col width="16" customWidth="1" style="304" min="1" max="1"/>
    <col width="16" customWidth="1" style="304" min="2" max="2"/>
    <col width="12" customWidth="1" style="304" min="3" max="3"/>
    <col width="20" customWidth="1" style="304" min="4" max="4"/>
    <col width="16" customWidth="1" style="304" min="5" max="5"/>
    <col width="12" customWidth="1" style="304" min="6" max="6"/>
    <col width="18" customWidth="1" style="304" min="7" max="7"/>
    <col width="14" customWidth="1" style="304" min="8" max="8"/>
    <col width="24" customWidth="1" style="304" min="9" max="9"/>
    <col width="20" customWidth="1" style="304" min="10" max="10"/>
    <col width="16" customWidth="1" style="304" min="11" max="11"/>
    <col width="16" customWidth="1" style="304" min="12" max="12"/>
    <col width="18" customWidth="1" style="304" min="13" max="13"/>
    <col width="40" customWidth="1" style="304" min="14" max="14"/>
  </cols>
  <sheetData>
    <row r="1" ht="40" customHeight="1" s="304">
      <c r="A1" s="448" t="inlineStr">
        <is>
          <t>Cards. One row per card or bank account. Store the last 4 only, never a full number. Paid status stops the due reminder. Statement day and due day are the usual day of the month.</t>
        </is>
      </c>
    </row>
    <row r="2" ht="32" customHeight="1" s="304">
      <c r="A2" s="449" t="inlineStr">
        <is>
          <t>Issuer</t>
        </is>
      </c>
      <c r="B2" s="449" t="inlineStr">
        <is>
          <t>Product</t>
        </is>
      </c>
      <c r="C2" s="449" t="inlineStr">
        <is>
          <t>Last 4</t>
        </is>
      </c>
      <c r="D2" s="449" t="inlineStr">
        <is>
          <t>Holder</t>
        </is>
      </c>
      <c r="E2" s="449" t="inlineStr">
        <is>
          <t>Statement day</t>
        </is>
      </c>
      <c r="F2" s="449" t="inlineStr">
        <is>
          <t>Due day</t>
        </is>
      </c>
      <c r="G2" s="449" t="inlineStr">
        <is>
          <t>Last amount due</t>
        </is>
      </c>
      <c r="H2" s="449" t="inlineStr">
        <is>
          <t>Paid status</t>
        </is>
      </c>
      <c r="I2" s="449" t="inlineStr">
        <is>
          <t>Card label</t>
        </is>
      </c>
      <c r="J2" s="449" t="inlineStr">
        <is>
          <t>Last statement date</t>
        </is>
      </c>
      <c r="K2" s="449" t="inlineStr">
        <is>
          <t>Period start</t>
        </is>
      </c>
      <c r="L2" s="449" t="inlineStr">
        <is>
          <t>Period end</t>
        </is>
      </c>
      <c r="M2" s="449" t="inlineStr">
        <is>
          <t>Minimum payment</t>
        </is>
      </c>
      <c r="N2" s="449" t="inlineStr">
        <is>
          <t>Statement file</t>
        </is>
      </c>
    </row>
    <row r="3">
      <c r="G3" s="461" t="n"/>
      <c r="M3" s="461" t="n"/>
    </row>
    <row r="4">
      <c r="G4" s="461" t="n"/>
      <c r="M4" s="461" t="n"/>
    </row>
    <row r="5">
      <c r="G5" s="461" t="n"/>
      <c r="M5" s="461" t="n"/>
    </row>
    <row r="6">
      <c r="G6" s="461" t="n"/>
      <c r="M6" s="461" t="n"/>
    </row>
    <row r="7">
      <c r="G7" s="461" t="n"/>
      <c r="M7" s="461" t="n"/>
    </row>
    <row r="8">
      <c r="G8" s="461" t="n"/>
      <c r="M8" s="461" t="n"/>
    </row>
    <row r="9">
      <c r="G9" s="461" t="n"/>
      <c r="M9" s="461" t="n"/>
    </row>
    <row r="10">
      <c r="G10" s="461" t="n"/>
      <c r="M10" s="461" t="n"/>
    </row>
    <row r="11">
      <c r="G11" s="461" t="n"/>
      <c r="M11" s="461" t="n"/>
    </row>
    <row r="12">
      <c r="G12" s="461" t="n"/>
      <c r="M12" s="461" t="n"/>
    </row>
    <row r="13">
      <c r="G13" s="461" t="n"/>
      <c r="M13" s="461" t="n"/>
    </row>
    <row r="14">
      <c r="G14" s="461" t="n"/>
      <c r="M14" s="461" t="n"/>
    </row>
    <row r="15">
      <c r="G15" s="461" t="n"/>
      <c r="M15" s="461" t="n"/>
    </row>
    <row r="16">
      <c r="G16" s="461" t="n"/>
      <c r="M16" s="461" t="n"/>
    </row>
    <row r="17">
      <c r="G17" s="461" t="n"/>
      <c r="M17" s="461" t="n"/>
    </row>
    <row r="18">
      <c r="G18" s="461" t="n"/>
      <c r="M18" s="461" t="n"/>
    </row>
    <row r="19">
      <c r="G19" s="461" t="n"/>
      <c r="M19" s="461" t="n"/>
    </row>
    <row r="20">
      <c r="G20" s="461" t="n"/>
      <c r="M20" s="461" t="n"/>
    </row>
    <row r="21">
      <c r="G21" s="461" t="n"/>
      <c r="M21" s="461" t="n"/>
    </row>
    <row r="22">
      <c r="G22" s="461" t="n"/>
      <c r="M22" s="461" t="n"/>
    </row>
    <row r="23">
      <c r="G23" s="461" t="n"/>
      <c r="M23" s="461" t="n"/>
    </row>
    <row r="24">
      <c r="G24" s="461" t="n"/>
      <c r="M24" s="461" t="n"/>
    </row>
    <row r="25">
      <c r="G25" s="461" t="n"/>
      <c r="M25" s="461" t="n"/>
    </row>
    <row r="26">
      <c r="G26" s="461" t="n"/>
      <c r="M26" s="461" t="n"/>
    </row>
    <row r="27">
      <c r="G27" s="461" t="n"/>
      <c r="M27" s="461" t="n"/>
    </row>
    <row r="28">
      <c r="G28" s="461" t="n"/>
      <c r="M28" s="461" t="n"/>
    </row>
    <row r="29">
      <c r="G29" s="461" t="n"/>
      <c r="M29" s="461" t="n"/>
    </row>
  </sheetData>
  <autoFilter ref="A2:N2"/>
  <mergeCells count="1">
    <mergeCell ref="A1:H1"/>
  </mergeCells>
  <dataValidations count="1">
    <dataValidation sqref="H3:H30" showDropDown="0" showInputMessage="0" showErrorMessage="0" allowBlank="1" type="list">
      <formula1>"unpaid,paid"</formula1>
    </dataValidation>
  </dataValidations>
  <pageMargins left="0.75" right="0.75" top="1" bottom="1" header="0.5" footer="0.5"/>
</worksheet>
</file>

<file path=xl/worksheets/sheet16.xml><?xml version="1.0" encoding="utf-8"?>
<worksheet xmlns="http://schemas.openxmlformats.org/spreadsheetml/2006/main">
  <sheetPr>
    <tabColor rgb="FF808080"/>
    <outlinePr summaryBelow="1" summaryRight="1"/>
    <pageSetUpPr/>
  </sheetPr>
  <dimension ref="A1:V500"/>
  <sheetViews>
    <sheetView workbookViewId="0">
      <pane ySplit="1" topLeftCell="A2" activePane="bottomLeft" state="frozen"/>
      <selection pane="bottomLeft" activeCell="A2" sqref="A2"/>
    </sheetView>
  </sheetViews>
  <sheetFormatPr baseColWidth="8" defaultRowHeight="15"/>
  <cols>
    <col width="42" customWidth="1" style="304" min="1" max="1"/>
    <col width="14" customWidth="1" style="304" min="2" max="2"/>
    <col width="18" customWidth="1" style="304" min="3" max="3"/>
    <col width="12" customWidth="1" style="304" min="4" max="4"/>
    <col width="28" customWidth="1" style="304" min="5" max="5"/>
    <col width="40" customWidth="1" style="304" min="6" max="6"/>
    <col width="16" customWidth="1" style="304" min="7" max="7"/>
    <col width="62" customWidth="1" style="304" min="8" max="8"/>
    <col width="22" customWidth="1" style="304" min="9" max="9"/>
    <col width="20" customWidth="1" style="304" min="10" max="10"/>
    <col width="55" customWidth="1" style="304" min="11" max="11"/>
    <col width="14" customWidth="1" style="304" min="12" max="12"/>
    <col width="18" customWidth="1" style="304" min="13" max="13"/>
    <col width="14" customWidth="1" style="304" min="14" max="14"/>
    <col width="40" customWidth="1" style="304" min="15" max="15"/>
  </cols>
  <sheetData>
    <row r="1" ht="48" customHeight="1" s="304">
      <c r="A1" s="0" t="inlineStr">
        <is>
          <t>Source</t>
        </is>
      </c>
      <c r="B1" s="0" t="inlineStr">
        <is>
          <t>Date</t>
        </is>
      </c>
      <c r="C1" s="0" t="inlineStr">
        <is>
          <t>Merchant</t>
        </is>
      </c>
      <c r="D1" s="0" t="inlineStr">
        <is>
          <t>Total</t>
        </is>
      </c>
      <c r="E1" s="0" t="inlineStr">
        <is>
          <t>Where written</t>
        </is>
      </c>
      <c r="F1" s="0" t="inlineStr">
        <is>
          <t>Saved file</t>
        </is>
      </c>
      <c r="G1" s="0" t="inlineStr">
        <is>
          <t>Logged by</t>
        </is>
      </c>
      <c r="H1" s="465" t="inlineStr">
        <is>
          <t>Authoritative dedupe list for Family Book bots (v2.0). One row per purchase. Do not edit or delete rows. A duplicate the user confirms, and an answered question, is marked superseded in column N and kept. Column E is Where written: the amount cell is chosen and recorded here before the amount is written. A retry reads that cell and does not pick a new row. Column N is Status: pending (write in progress), question (an open yes/no, nothing written into the grid), awaiting statement, no receipt, matched, cash, done, or superseded. Column O is the SHA-256 of each saved file. Columns P to V hold the statement key (last4, post date, amount, normalized description, occurrence), the card label, the post date, the FX note, the linked receipt or purchase, the statement file, and the section row. The same purchase is one Transactions row, one Receipts row, or both, and it is never added to the grid twice.</t>
        </is>
      </c>
      <c r="I1" s="458" t="inlineStr">
        <is>
          <t>Receipt/order #</t>
        </is>
      </c>
      <c r="J1" s="458" t="inlineStr">
        <is>
          <t>Date &amp; time</t>
        </is>
      </c>
      <c r="K1" s="458" t="inlineStr">
        <is>
          <t>Items</t>
        </is>
      </c>
      <c r="L1" s="458" t="inlineStr">
        <is>
          <t>Payment</t>
        </is>
      </c>
      <c r="M1" s="458" t="inlineStr">
        <is>
          <t>Month list row</t>
        </is>
      </c>
      <c r="N1" s="464" t="inlineStr">
        <is>
          <t>Status</t>
        </is>
      </c>
      <c r="O1" s="464" t="inlineStr">
        <is>
          <t>Content hash</t>
        </is>
      </c>
      <c r="P1" s="466" t="inlineStr">
        <is>
          <t>Txn key</t>
        </is>
      </c>
      <c r="Q1" s="466" t="inlineStr">
        <is>
          <t>Card</t>
        </is>
      </c>
      <c r="R1" s="466" t="inlineStr">
        <is>
          <t>Post date</t>
        </is>
      </c>
      <c r="S1" s="466" t="inlineStr">
        <is>
          <t>FX note</t>
        </is>
      </c>
      <c r="T1" s="466" t="inlineStr">
        <is>
          <t>Linked to</t>
        </is>
      </c>
      <c r="U1" s="466" t="inlineStr">
        <is>
          <t>Statement file</t>
        </is>
      </c>
      <c r="V1" s="466" t="inlineStr">
        <is>
          <t>Section row</t>
        </is>
      </c>
    </row>
    <row r="2">
      <c r="D2" s="461" t="n"/>
    </row>
    <row r="3">
      <c r="D3" s="461" t="n"/>
    </row>
    <row r="4">
      <c r="D4" s="461" t="n"/>
    </row>
    <row r="5">
      <c r="D5" s="461" t="n"/>
    </row>
    <row r="6">
      <c r="D6" s="461" t="n"/>
    </row>
    <row r="7">
      <c r="D7" s="461" t="n"/>
    </row>
    <row r="8">
      <c r="D8" s="461" t="n"/>
    </row>
    <row r="9">
      <c r="D9" s="461" t="n"/>
    </row>
    <row r="10">
      <c r="D10" s="461" t="n"/>
    </row>
    <row r="11">
      <c r="D11" s="461" t="n"/>
    </row>
    <row r="12">
      <c r="D12" s="461" t="n"/>
    </row>
    <row r="13">
      <c r="D13" s="461" t="n"/>
    </row>
    <row r="14">
      <c r="D14" s="461" t="n"/>
    </row>
    <row r="15">
      <c r="D15" s="461" t="n"/>
    </row>
    <row r="16">
      <c r="D16" s="461" t="n"/>
    </row>
    <row r="17">
      <c r="D17" s="461" t="n"/>
    </row>
    <row r="18">
      <c r="D18" s="461" t="n"/>
    </row>
    <row r="19">
      <c r="D19" s="461" t="n"/>
    </row>
    <row r="20">
      <c r="D20" s="461" t="n"/>
    </row>
    <row r="21">
      <c r="D21" s="461" t="n"/>
    </row>
    <row r="22">
      <c r="D22" s="461" t="n"/>
    </row>
    <row r="23">
      <c r="D23" s="461" t="n"/>
    </row>
    <row r="24">
      <c r="D24" s="461" t="n"/>
    </row>
    <row r="25">
      <c r="D25" s="461" t="n"/>
    </row>
    <row r="26">
      <c r="D26" s="461" t="n"/>
    </row>
    <row r="27">
      <c r="D27" s="461" t="n"/>
    </row>
    <row r="28">
      <c r="D28" s="461" t="n"/>
    </row>
    <row r="29">
      <c r="D29" s="461" t="n"/>
    </row>
    <row r="30">
      <c r="D30" s="461" t="n"/>
    </row>
    <row r="31">
      <c r="D31" s="461" t="n"/>
    </row>
    <row r="32">
      <c r="D32" s="461" t="n"/>
    </row>
    <row r="33">
      <c r="D33" s="461" t="n"/>
    </row>
    <row r="34">
      <c r="D34" s="461" t="n"/>
    </row>
    <row r="35">
      <c r="D35" s="461" t="n"/>
    </row>
    <row r="36">
      <c r="D36" s="461" t="n"/>
    </row>
    <row r="37">
      <c r="D37" s="461" t="n"/>
    </row>
    <row r="38">
      <c r="D38" s="461" t="n"/>
    </row>
    <row r="39">
      <c r="D39" s="461" t="n"/>
    </row>
    <row r="40">
      <c r="D40" s="461" t="n"/>
    </row>
    <row r="41">
      <c r="D41" s="461" t="n"/>
    </row>
    <row r="42">
      <c r="D42" s="461" t="n"/>
    </row>
    <row r="43">
      <c r="D43" s="461" t="n"/>
    </row>
    <row r="44">
      <c r="D44" s="461" t="n"/>
    </row>
    <row r="45">
      <c r="D45" s="461" t="n"/>
    </row>
    <row r="46">
      <c r="D46" s="461" t="n"/>
    </row>
    <row r="47">
      <c r="D47" s="461" t="n"/>
    </row>
    <row r="48">
      <c r="D48" s="461" t="n"/>
    </row>
    <row r="49">
      <c r="D49" s="461" t="n"/>
    </row>
    <row r="50">
      <c r="D50" s="461" t="n"/>
    </row>
    <row r="51">
      <c r="D51" s="461" t="n"/>
    </row>
    <row r="52">
      <c r="D52" s="461" t="n"/>
    </row>
    <row r="53">
      <c r="D53" s="461" t="n"/>
    </row>
    <row r="54">
      <c r="D54" s="461" t="n"/>
    </row>
    <row r="55">
      <c r="D55" s="461" t="n"/>
    </row>
    <row r="56">
      <c r="D56" s="461" t="n"/>
    </row>
    <row r="57">
      <c r="D57" s="461" t="n"/>
    </row>
    <row r="58">
      <c r="D58" s="461" t="n"/>
    </row>
    <row r="59">
      <c r="D59" s="461" t="n"/>
    </row>
    <row r="60">
      <c r="D60" s="461" t="n"/>
    </row>
    <row r="61">
      <c r="D61" s="461" t="n"/>
    </row>
    <row r="62">
      <c r="D62" s="461" t="n"/>
    </row>
    <row r="63">
      <c r="D63" s="461" t="n"/>
    </row>
    <row r="64">
      <c r="D64" s="461" t="n"/>
    </row>
    <row r="65">
      <c r="D65" s="461" t="n"/>
    </row>
    <row r="66">
      <c r="D66" s="461" t="n"/>
    </row>
    <row r="67">
      <c r="D67" s="461" t="n"/>
    </row>
    <row r="68">
      <c r="D68" s="461" t="n"/>
    </row>
    <row r="69">
      <c r="D69" s="461" t="n"/>
    </row>
    <row r="70">
      <c r="D70" s="461" t="n"/>
    </row>
    <row r="71">
      <c r="D71" s="461" t="n"/>
    </row>
    <row r="72">
      <c r="D72" s="461" t="n"/>
    </row>
    <row r="73">
      <c r="D73" s="461" t="n"/>
    </row>
    <row r="74">
      <c r="D74" s="461" t="n"/>
    </row>
    <row r="75">
      <c r="D75" s="461" t="n"/>
    </row>
    <row r="76">
      <c r="D76" s="461" t="n"/>
    </row>
    <row r="77">
      <c r="D77" s="461" t="n"/>
    </row>
    <row r="78">
      <c r="D78" s="461" t="n"/>
    </row>
    <row r="79">
      <c r="D79" s="461" t="n"/>
    </row>
    <row r="80">
      <c r="D80" s="461" t="n"/>
    </row>
    <row r="81">
      <c r="D81" s="461" t="n"/>
    </row>
    <row r="82">
      <c r="D82" s="461" t="n"/>
    </row>
    <row r="83">
      <c r="D83" s="461" t="n"/>
    </row>
    <row r="84">
      <c r="D84" s="461" t="n"/>
    </row>
    <row r="85">
      <c r="D85" s="461" t="n"/>
    </row>
    <row r="86">
      <c r="D86" s="461" t="n"/>
    </row>
    <row r="87">
      <c r="D87" s="461" t="n"/>
    </row>
    <row r="88">
      <c r="D88" s="461" t="n"/>
    </row>
    <row r="89">
      <c r="D89" s="461" t="n"/>
    </row>
    <row r="90">
      <c r="D90" s="461" t="n"/>
    </row>
    <row r="91">
      <c r="D91" s="461" t="n"/>
    </row>
    <row r="92">
      <c r="D92" s="461" t="n"/>
    </row>
    <row r="93">
      <c r="D93" s="461" t="n"/>
    </row>
    <row r="94">
      <c r="D94" s="461" t="n"/>
    </row>
    <row r="95">
      <c r="D95" s="461" t="n"/>
    </row>
    <row r="96">
      <c r="D96" s="461" t="n"/>
    </row>
    <row r="97">
      <c r="D97" s="461" t="n"/>
    </row>
    <row r="98">
      <c r="D98" s="461" t="n"/>
    </row>
    <row r="99">
      <c r="D99" s="461" t="n"/>
    </row>
    <row r="100">
      <c r="D100" s="461" t="n"/>
    </row>
    <row r="101">
      <c r="D101" s="461" t="n"/>
    </row>
    <row r="102">
      <c r="D102" s="461" t="n"/>
    </row>
    <row r="103">
      <c r="D103" s="461" t="n"/>
    </row>
    <row r="104">
      <c r="D104" s="461" t="n"/>
    </row>
    <row r="105">
      <c r="D105" s="461" t="n"/>
    </row>
    <row r="106">
      <c r="D106" s="461" t="n"/>
    </row>
    <row r="107">
      <c r="D107" s="461" t="n"/>
    </row>
    <row r="108">
      <c r="D108" s="461" t="n"/>
    </row>
    <row r="109">
      <c r="D109" s="461" t="n"/>
    </row>
    <row r="110">
      <c r="D110" s="461" t="n"/>
    </row>
    <row r="111">
      <c r="D111" s="461" t="n"/>
    </row>
    <row r="112">
      <c r="D112" s="461" t="n"/>
    </row>
    <row r="113">
      <c r="D113" s="461" t="n"/>
    </row>
    <row r="114">
      <c r="D114" s="461" t="n"/>
    </row>
    <row r="115">
      <c r="D115" s="461" t="n"/>
    </row>
    <row r="116">
      <c r="D116" s="461" t="n"/>
    </row>
    <row r="117">
      <c r="D117" s="461" t="n"/>
    </row>
    <row r="118">
      <c r="D118" s="461" t="n"/>
    </row>
    <row r="119">
      <c r="D119" s="461" t="n"/>
    </row>
    <row r="120">
      <c r="D120" s="461" t="n"/>
    </row>
    <row r="121">
      <c r="D121" s="461" t="n"/>
    </row>
    <row r="122">
      <c r="D122" s="461" t="n"/>
    </row>
    <row r="123">
      <c r="D123" s="461" t="n"/>
    </row>
    <row r="124">
      <c r="D124" s="461" t="n"/>
    </row>
    <row r="125">
      <c r="D125" s="461" t="n"/>
    </row>
    <row r="126">
      <c r="D126" s="461" t="n"/>
    </row>
    <row r="127">
      <c r="D127" s="461" t="n"/>
    </row>
    <row r="128">
      <c r="D128" s="461" t="n"/>
    </row>
    <row r="129">
      <c r="D129" s="461" t="n"/>
    </row>
    <row r="130">
      <c r="D130" s="461" t="n"/>
    </row>
    <row r="131">
      <c r="D131" s="461" t="n"/>
    </row>
    <row r="132">
      <c r="D132" s="461" t="n"/>
    </row>
    <row r="133">
      <c r="D133" s="461" t="n"/>
    </row>
    <row r="134">
      <c r="D134" s="461" t="n"/>
    </row>
    <row r="135">
      <c r="D135" s="461" t="n"/>
    </row>
    <row r="136">
      <c r="D136" s="461" t="n"/>
    </row>
    <row r="137">
      <c r="D137" s="461" t="n"/>
    </row>
    <row r="138">
      <c r="D138" s="461" t="n"/>
    </row>
    <row r="139">
      <c r="D139" s="461" t="n"/>
    </row>
    <row r="140">
      <c r="D140" s="461" t="n"/>
    </row>
    <row r="141">
      <c r="D141" s="461" t="n"/>
    </row>
    <row r="142">
      <c r="D142" s="461" t="n"/>
    </row>
    <row r="143">
      <c r="D143" s="461" t="n"/>
    </row>
    <row r="144">
      <c r="D144" s="461" t="n"/>
    </row>
    <row r="145">
      <c r="D145" s="461" t="n"/>
    </row>
    <row r="146">
      <c r="D146" s="461" t="n"/>
    </row>
    <row r="147">
      <c r="D147" s="461" t="n"/>
    </row>
    <row r="148">
      <c r="D148" s="461" t="n"/>
    </row>
    <row r="149">
      <c r="D149" s="461" t="n"/>
    </row>
    <row r="150">
      <c r="D150" s="461" t="n"/>
    </row>
    <row r="151">
      <c r="D151" s="461" t="n"/>
    </row>
    <row r="152">
      <c r="D152" s="461" t="n"/>
    </row>
    <row r="153">
      <c r="D153" s="461" t="n"/>
    </row>
    <row r="154">
      <c r="D154" s="461" t="n"/>
    </row>
    <row r="155">
      <c r="D155" s="461" t="n"/>
    </row>
    <row r="156">
      <c r="D156" s="461" t="n"/>
    </row>
    <row r="157">
      <c r="D157" s="461" t="n"/>
    </row>
    <row r="158">
      <c r="D158" s="461" t="n"/>
    </row>
    <row r="159">
      <c r="D159" s="461" t="n"/>
    </row>
    <row r="160">
      <c r="D160" s="461" t="n"/>
    </row>
    <row r="161">
      <c r="D161" s="461" t="n"/>
    </row>
    <row r="162">
      <c r="D162" s="461" t="n"/>
    </row>
    <row r="163">
      <c r="D163" s="461" t="n"/>
    </row>
    <row r="164">
      <c r="D164" s="461" t="n"/>
    </row>
    <row r="165">
      <c r="D165" s="461" t="n"/>
    </row>
    <row r="166">
      <c r="D166" s="461" t="n"/>
    </row>
    <row r="167">
      <c r="D167" s="461" t="n"/>
    </row>
    <row r="168">
      <c r="D168" s="461" t="n"/>
    </row>
    <row r="169">
      <c r="D169" s="461" t="n"/>
    </row>
    <row r="170">
      <c r="D170" s="461" t="n"/>
    </row>
    <row r="171">
      <c r="D171" s="461" t="n"/>
    </row>
    <row r="172">
      <c r="D172" s="461" t="n"/>
    </row>
    <row r="173">
      <c r="D173" s="461" t="n"/>
    </row>
    <row r="174">
      <c r="D174" s="461" t="n"/>
    </row>
    <row r="175">
      <c r="D175" s="461" t="n"/>
    </row>
    <row r="176">
      <c r="D176" s="461" t="n"/>
    </row>
    <row r="177">
      <c r="D177" s="461" t="n"/>
    </row>
    <row r="178">
      <c r="D178" s="461" t="n"/>
    </row>
    <row r="179">
      <c r="D179" s="461" t="n"/>
    </row>
    <row r="180">
      <c r="D180" s="461" t="n"/>
    </row>
    <row r="181">
      <c r="D181" s="461" t="n"/>
    </row>
    <row r="182">
      <c r="D182" s="461" t="n"/>
    </row>
    <row r="183">
      <c r="D183" s="461" t="n"/>
    </row>
    <row r="184">
      <c r="D184" s="461" t="n"/>
    </row>
    <row r="185">
      <c r="D185" s="461" t="n"/>
    </row>
    <row r="186">
      <c r="D186" s="461" t="n"/>
    </row>
    <row r="187">
      <c r="D187" s="461" t="n"/>
    </row>
    <row r="188">
      <c r="D188" s="461" t="n"/>
    </row>
    <row r="189">
      <c r="D189" s="461" t="n"/>
    </row>
    <row r="190">
      <c r="D190" s="461" t="n"/>
    </row>
    <row r="191">
      <c r="D191" s="461" t="n"/>
    </row>
    <row r="192">
      <c r="D192" s="461" t="n"/>
    </row>
    <row r="193">
      <c r="D193" s="461" t="n"/>
    </row>
    <row r="194">
      <c r="D194" s="461" t="n"/>
    </row>
    <row r="195">
      <c r="D195" s="461" t="n"/>
    </row>
    <row r="196">
      <c r="D196" s="461" t="n"/>
    </row>
    <row r="197">
      <c r="D197" s="461" t="n"/>
    </row>
    <row r="198">
      <c r="D198" s="461" t="n"/>
    </row>
    <row r="199">
      <c r="D199" s="461" t="n"/>
    </row>
    <row r="200">
      <c r="D200" s="461" t="n"/>
    </row>
    <row r="201">
      <c r="D201" s="461" t="n"/>
    </row>
    <row r="202">
      <c r="D202" s="461" t="n"/>
    </row>
    <row r="203">
      <c r="D203" s="461" t="n"/>
    </row>
    <row r="204">
      <c r="D204" s="461" t="n"/>
    </row>
    <row r="205">
      <c r="D205" s="461" t="n"/>
    </row>
    <row r="206">
      <c r="D206" s="461" t="n"/>
    </row>
    <row r="207">
      <c r="D207" s="461" t="n"/>
    </row>
    <row r="208">
      <c r="D208" s="461" t="n"/>
    </row>
    <row r="209">
      <c r="D209" s="461" t="n"/>
    </row>
    <row r="210">
      <c r="D210" s="461" t="n"/>
    </row>
    <row r="211">
      <c r="D211" s="461" t="n"/>
    </row>
    <row r="212">
      <c r="D212" s="461" t="n"/>
    </row>
    <row r="213">
      <c r="D213" s="461" t="n"/>
    </row>
    <row r="214">
      <c r="D214" s="461" t="n"/>
    </row>
    <row r="215">
      <c r="D215" s="461" t="n"/>
    </row>
    <row r="216">
      <c r="D216" s="461" t="n"/>
    </row>
    <row r="217">
      <c r="D217" s="461" t="n"/>
    </row>
    <row r="218">
      <c r="D218" s="461" t="n"/>
    </row>
    <row r="219">
      <c r="D219" s="461" t="n"/>
    </row>
    <row r="220">
      <c r="D220" s="461" t="n"/>
    </row>
    <row r="221">
      <c r="D221" s="461" t="n"/>
    </row>
    <row r="222">
      <c r="D222" s="461" t="n"/>
    </row>
    <row r="223">
      <c r="D223" s="461" t="n"/>
    </row>
    <row r="224">
      <c r="D224" s="461" t="n"/>
    </row>
    <row r="225">
      <c r="D225" s="461" t="n"/>
    </row>
    <row r="226">
      <c r="D226" s="461" t="n"/>
    </row>
    <row r="227">
      <c r="D227" s="461" t="n"/>
    </row>
    <row r="228">
      <c r="D228" s="461" t="n"/>
    </row>
    <row r="229">
      <c r="D229" s="461" t="n"/>
    </row>
    <row r="230">
      <c r="D230" s="461" t="n"/>
    </row>
    <row r="231">
      <c r="D231" s="461" t="n"/>
    </row>
    <row r="232">
      <c r="D232" s="461" t="n"/>
    </row>
    <row r="233">
      <c r="D233" s="461" t="n"/>
    </row>
    <row r="234">
      <c r="D234" s="461" t="n"/>
    </row>
    <row r="235">
      <c r="D235" s="461" t="n"/>
    </row>
    <row r="236">
      <c r="D236" s="461" t="n"/>
    </row>
    <row r="237">
      <c r="D237" s="461" t="n"/>
    </row>
    <row r="238">
      <c r="D238" s="461" t="n"/>
    </row>
    <row r="239">
      <c r="D239" s="461" t="n"/>
    </row>
    <row r="240">
      <c r="D240" s="461" t="n"/>
    </row>
    <row r="241">
      <c r="D241" s="461" t="n"/>
    </row>
    <row r="242">
      <c r="D242" s="461" t="n"/>
    </row>
    <row r="243">
      <c r="D243" s="461" t="n"/>
    </row>
    <row r="244">
      <c r="D244" s="461" t="n"/>
    </row>
    <row r="245">
      <c r="D245" s="461" t="n"/>
    </row>
    <row r="246">
      <c r="D246" s="461" t="n"/>
    </row>
    <row r="247">
      <c r="D247" s="461" t="n"/>
    </row>
    <row r="248">
      <c r="D248" s="461" t="n"/>
    </row>
    <row r="249">
      <c r="D249" s="461" t="n"/>
    </row>
    <row r="250">
      <c r="D250" s="461" t="n"/>
    </row>
    <row r="251">
      <c r="D251" s="461" t="n"/>
    </row>
    <row r="252">
      <c r="D252" s="461" t="n"/>
    </row>
    <row r="253">
      <c r="D253" s="461" t="n"/>
    </row>
    <row r="254">
      <c r="D254" s="461" t="n"/>
    </row>
    <row r="255">
      <c r="D255" s="461" t="n"/>
    </row>
    <row r="256">
      <c r="D256" s="461" t="n"/>
    </row>
    <row r="257">
      <c r="D257" s="461" t="n"/>
    </row>
    <row r="258">
      <c r="D258" s="461" t="n"/>
    </row>
    <row r="259">
      <c r="D259" s="461" t="n"/>
    </row>
    <row r="260">
      <c r="D260" s="461" t="n"/>
    </row>
    <row r="261">
      <c r="D261" s="461" t="n"/>
    </row>
    <row r="262">
      <c r="D262" s="461" t="n"/>
    </row>
    <row r="263">
      <c r="D263" s="461" t="n"/>
    </row>
    <row r="264">
      <c r="D264" s="461" t="n"/>
    </row>
    <row r="265">
      <c r="D265" s="461" t="n"/>
    </row>
    <row r="266">
      <c r="D266" s="461" t="n"/>
    </row>
    <row r="267">
      <c r="D267" s="461" t="n"/>
    </row>
    <row r="268">
      <c r="D268" s="461" t="n"/>
    </row>
    <row r="269">
      <c r="D269" s="461" t="n"/>
    </row>
    <row r="270">
      <c r="D270" s="461" t="n"/>
    </row>
    <row r="271">
      <c r="D271" s="461" t="n"/>
    </row>
    <row r="272">
      <c r="D272" s="461" t="n"/>
    </row>
    <row r="273">
      <c r="D273" s="461" t="n"/>
    </row>
    <row r="274">
      <c r="D274" s="461" t="n"/>
    </row>
    <row r="275">
      <c r="D275" s="461" t="n"/>
    </row>
    <row r="276">
      <c r="D276" s="461" t="n"/>
    </row>
    <row r="277">
      <c r="D277" s="461" t="n"/>
    </row>
    <row r="278">
      <c r="D278" s="461" t="n"/>
    </row>
    <row r="279">
      <c r="D279" s="461" t="n"/>
    </row>
    <row r="280">
      <c r="D280" s="461" t="n"/>
    </row>
    <row r="281">
      <c r="D281" s="461" t="n"/>
    </row>
    <row r="282">
      <c r="D282" s="461" t="n"/>
    </row>
    <row r="283">
      <c r="D283" s="461" t="n"/>
    </row>
    <row r="284">
      <c r="D284" s="461" t="n"/>
    </row>
    <row r="285">
      <c r="D285" s="461" t="n"/>
    </row>
    <row r="286">
      <c r="D286" s="461" t="n"/>
    </row>
    <row r="287">
      <c r="D287" s="461" t="n"/>
    </row>
    <row r="288">
      <c r="D288" s="461" t="n"/>
    </row>
    <row r="289">
      <c r="D289" s="461" t="n"/>
    </row>
    <row r="290">
      <c r="D290" s="461" t="n"/>
    </row>
    <row r="291">
      <c r="D291" s="461" t="n"/>
    </row>
    <row r="292">
      <c r="D292" s="461" t="n"/>
    </row>
    <row r="293">
      <c r="D293" s="461" t="n"/>
    </row>
    <row r="294">
      <c r="D294" s="461" t="n"/>
    </row>
    <row r="295">
      <c r="D295" s="461" t="n"/>
    </row>
    <row r="296">
      <c r="D296" s="461" t="n"/>
    </row>
    <row r="297">
      <c r="D297" s="461" t="n"/>
    </row>
    <row r="298">
      <c r="D298" s="461" t="n"/>
    </row>
    <row r="299">
      <c r="D299" s="461" t="n"/>
    </row>
    <row r="300">
      <c r="D300" s="461" t="n"/>
    </row>
    <row r="301">
      <c r="D301" s="461" t="n"/>
    </row>
    <row r="302">
      <c r="D302" s="461" t="n"/>
    </row>
    <row r="303">
      <c r="D303" s="461" t="n"/>
    </row>
    <row r="304">
      <c r="D304" s="461" t="n"/>
    </row>
    <row r="305">
      <c r="D305" s="461" t="n"/>
    </row>
    <row r="306">
      <c r="D306" s="461" t="n"/>
    </row>
    <row r="307">
      <c r="D307" s="461" t="n"/>
    </row>
    <row r="308">
      <c r="D308" s="461" t="n"/>
    </row>
    <row r="309">
      <c r="D309" s="461" t="n"/>
    </row>
    <row r="310">
      <c r="D310" s="461" t="n"/>
    </row>
    <row r="311">
      <c r="D311" s="461" t="n"/>
    </row>
    <row r="312">
      <c r="D312" s="461" t="n"/>
    </row>
    <row r="313">
      <c r="D313" s="461" t="n"/>
    </row>
    <row r="314">
      <c r="D314" s="461" t="n"/>
    </row>
    <row r="315">
      <c r="D315" s="461" t="n"/>
    </row>
    <row r="316">
      <c r="D316" s="461" t="n"/>
    </row>
    <row r="317">
      <c r="D317" s="461" t="n"/>
    </row>
    <row r="318">
      <c r="D318" s="461" t="n"/>
    </row>
    <row r="319">
      <c r="D319" s="461" t="n"/>
    </row>
    <row r="320">
      <c r="D320" s="461" t="n"/>
    </row>
    <row r="321">
      <c r="D321" s="461" t="n"/>
    </row>
    <row r="322">
      <c r="D322" s="461" t="n"/>
    </row>
    <row r="323">
      <c r="D323" s="461" t="n"/>
    </row>
    <row r="324">
      <c r="D324" s="461" t="n"/>
    </row>
    <row r="325">
      <c r="D325" s="461" t="n"/>
    </row>
    <row r="326">
      <c r="D326" s="461" t="n"/>
    </row>
    <row r="327">
      <c r="D327" s="461" t="n"/>
    </row>
    <row r="328">
      <c r="D328" s="461" t="n"/>
    </row>
    <row r="329">
      <c r="D329" s="461" t="n"/>
    </row>
    <row r="330">
      <c r="D330" s="461" t="n"/>
    </row>
    <row r="331">
      <c r="D331" s="461" t="n"/>
    </row>
    <row r="332">
      <c r="D332" s="461" t="n"/>
    </row>
    <row r="333">
      <c r="D333" s="461" t="n"/>
    </row>
    <row r="334">
      <c r="D334" s="461" t="n"/>
    </row>
    <row r="335">
      <c r="D335" s="461" t="n"/>
    </row>
    <row r="336">
      <c r="D336" s="461" t="n"/>
    </row>
    <row r="337">
      <c r="D337" s="461" t="n"/>
    </row>
    <row r="338">
      <c r="D338" s="461" t="n"/>
    </row>
    <row r="339">
      <c r="D339" s="461" t="n"/>
    </row>
    <row r="340">
      <c r="D340" s="461" t="n"/>
    </row>
    <row r="341">
      <c r="D341" s="461" t="n"/>
    </row>
    <row r="342">
      <c r="D342" s="461" t="n"/>
    </row>
    <row r="343">
      <c r="D343" s="461" t="n"/>
    </row>
    <row r="344">
      <c r="D344" s="461" t="n"/>
    </row>
    <row r="345">
      <c r="D345" s="461" t="n"/>
    </row>
    <row r="346">
      <c r="D346" s="461" t="n"/>
    </row>
    <row r="347">
      <c r="D347" s="461" t="n"/>
    </row>
    <row r="348">
      <c r="D348" s="461" t="n"/>
    </row>
    <row r="349">
      <c r="D349" s="461" t="n"/>
    </row>
    <row r="350">
      <c r="D350" s="461" t="n"/>
    </row>
    <row r="351">
      <c r="D351" s="461" t="n"/>
    </row>
    <row r="352">
      <c r="D352" s="461" t="n"/>
    </row>
    <row r="353">
      <c r="D353" s="461" t="n"/>
    </row>
    <row r="354">
      <c r="D354" s="461" t="n"/>
    </row>
    <row r="355">
      <c r="D355" s="461" t="n"/>
    </row>
    <row r="356">
      <c r="D356" s="461" t="n"/>
    </row>
    <row r="357">
      <c r="D357" s="461" t="n"/>
    </row>
    <row r="358">
      <c r="D358" s="461" t="n"/>
    </row>
    <row r="359">
      <c r="D359" s="461" t="n"/>
    </row>
    <row r="360">
      <c r="D360" s="461" t="n"/>
    </row>
    <row r="361">
      <c r="D361" s="461" t="n"/>
    </row>
    <row r="362">
      <c r="D362" s="461" t="n"/>
    </row>
    <row r="363">
      <c r="D363" s="461" t="n"/>
    </row>
    <row r="364">
      <c r="D364" s="461" t="n"/>
    </row>
    <row r="365">
      <c r="D365" s="461" t="n"/>
    </row>
    <row r="366">
      <c r="D366" s="461" t="n"/>
    </row>
    <row r="367">
      <c r="D367" s="461" t="n"/>
    </row>
    <row r="368">
      <c r="D368" s="461" t="n"/>
    </row>
    <row r="369">
      <c r="D369" s="461" t="n"/>
    </row>
    <row r="370">
      <c r="D370" s="461" t="n"/>
    </row>
    <row r="371">
      <c r="D371" s="461" t="n"/>
    </row>
    <row r="372">
      <c r="D372" s="461" t="n"/>
    </row>
    <row r="373">
      <c r="D373" s="461" t="n"/>
    </row>
    <row r="374">
      <c r="D374" s="461" t="n"/>
    </row>
    <row r="375">
      <c r="D375" s="461" t="n"/>
    </row>
    <row r="376">
      <c r="D376" s="461" t="n"/>
    </row>
    <row r="377">
      <c r="D377" s="461" t="n"/>
    </row>
    <row r="378">
      <c r="D378" s="461" t="n"/>
    </row>
    <row r="379">
      <c r="D379" s="461" t="n"/>
    </row>
    <row r="380">
      <c r="D380" s="461" t="n"/>
    </row>
    <row r="381">
      <c r="D381" s="461" t="n"/>
    </row>
    <row r="382">
      <c r="D382" s="461" t="n"/>
    </row>
    <row r="383">
      <c r="D383" s="461" t="n"/>
    </row>
    <row r="384">
      <c r="D384" s="461" t="n"/>
    </row>
    <row r="385">
      <c r="D385" s="461" t="n"/>
    </row>
    <row r="386">
      <c r="D386" s="461" t="n"/>
    </row>
    <row r="387">
      <c r="D387" s="461" t="n"/>
    </row>
    <row r="388">
      <c r="D388" s="461" t="n"/>
    </row>
    <row r="389">
      <c r="D389" s="461" t="n"/>
    </row>
    <row r="390">
      <c r="D390" s="461" t="n"/>
    </row>
    <row r="391">
      <c r="D391" s="461" t="n"/>
    </row>
    <row r="392">
      <c r="D392" s="461" t="n"/>
    </row>
    <row r="393">
      <c r="D393" s="461" t="n"/>
    </row>
    <row r="394">
      <c r="D394" s="461" t="n"/>
    </row>
    <row r="395">
      <c r="D395" s="461" t="n"/>
    </row>
    <row r="396">
      <c r="D396" s="461" t="n"/>
    </row>
    <row r="397">
      <c r="D397" s="461" t="n"/>
    </row>
    <row r="398">
      <c r="D398" s="461" t="n"/>
    </row>
    <row r="399">
      <c r="D399" s="461" t="n"/>
    </row>
    <row r="400">
      <c r="D400" s="461" t="n"/>
    </row>
    <row r="401">
      <c r="D401" s="461" t="n"/>
    </row>
    <row r="402">
      <c r="D402" s="461" t="n"/>
    </row>
    <row r="403">
      <c r="D403" s="461" t="n"/>
    </row>
    <row r="404">
      <c r="D404" s="461" t="n"/>
    </row>
    <row r="405">
      <c r="D405" s="461" t="n"/>
    </row>
    <row r="406">
      <c r="D406" s="461" t="n"/>
    </row>
    <row r="407">
      <c r="D407" s="461" t="n"/>
    </row>
    <row r="408">
      <c r="D408" s="461" t="n"/>
    </row>
    <row r="409">
      <c r="D409" s="461" t="n"/>
    </row>
    <row r="410">
      <c r="D410" s="461" t="n"/>
    </row>
    <row r="411">
      <c r="D411" s="461" t="n"/>
    </row>
    <row r="412">
      <c r="D412" s="461" t="n"/>
    </row>
    <row r="413">
      <c r="D413" s="461" t="n"/>
    </row>
    <row r="414">
      <c r="D414" s="461" t="n"/>
    </row>
    <row r="415">
      <c r="D415" s="461" t="n"/>
    </row>
    <row r="416">
      <c r="D416" s="461" t="n"/>
    </row>
    <row r="417">
      <c r="D417" s="461" t="n"/>
    </row>
    <row r="418">
      <c r="D418" s="461" t="n"/>
    </row>
    <row r="419">
      <c r="D419" s="461" t="n"/>
    </row>
    <row r="420">
      <c r="D420" s="461" t="n"/>
    </row>
    <row r="421">
      <c r="D421" s="461" t="n"/>
    </row>
    <row r="422">
      <c r="D422" s="461" t="n"/>
    </row>
    <row r="423">
      <c r="D423" s="461" t="n"/>
    </row>
    <row r="424">
      <c r="D424" s="461" t="n"/>
    </row>
    <row r="425">
      <c r="D425" s="461" t="n"/>
    </row>
    <row r="426">
      <c r="D426" s="461" t="n"/>
    </row>
    <row r="427">
      <c r="D427" s="461" t="n"/>
    </row>
    <row r="428">
      <c r="D428" s="461" t="n"/>
    </row>
    <row r="429">
      <c r="D429" s="461" t="n"/>
    </row>
    <row r="430">
      <c r="D430" s="461" t="n"/>
    </row>
    <row r="431">
      <c r="D431" s="461" t="n"/>
    </row>
    <row r="432">
      <c r="D432" s="461" t="n"/>
    </row>
    <row r="433">
      <c r="D433" s="461" t="n"/>
    </row>
    <row r="434">
      <c r="D434" s="461" t="n"/>
    </row>
    <row r="435">
      <c r="D435" s="461" t="n"/>
    </row>
    <row r="436">
      <c r="D436" s="461" t="n"/>
    </row>
    <row r="437">
      <c r="D437" s="461" t="n"/>
    </row>
    <row r="438">
      <c r="D438" s="461" t="n"/>
    </row>
    <row r="439">
      <c r="D439" s="461" t="n"/>
    </row>
    <row r="440">
      <c r="D440" s="461" t="n"/>
    </row>
    <row r="441">
      <c r="D441" s="461" t="n"/>
    </row>
    <row r="442">
      <c r="D442" s="461" t="n"/>
    </row>
    <row r="443">
      <c r="D443" s="461" t="n"/>
    </row>
    <row r="444">
      <c r="D444" s="461" t="n"/>
    </row>
    <row r="445">
      <c r="D445" s="461" t="n"/>
    </row>
    <row r="446">
      <c r="D446" s="461" t="n"/>
    </row>
    <row r="447">
      <c r="D447" s="461" t="n"/>
    </row>
    <row r="448">
      <c r="D448" s="461" t="n"/>
    </row>
    <row r="449">
      <c r="D449" s="461" t="n"/>
    </row>
    <row r="450">
      <c r="D450" s="461" t="n"/>
    </row>
    <row r="451">
      <c r="D451" s="461" t="n"/>
    </row>
    <row r="452">
      <c r="D452" s="461" t="n"/>
    </row>
    <row r="453">
      <c r="D453" s="461" t="n"/>
    </row>
    <row r="454">
      <c r="D454" s="461" t="n"/>
    </row>
    <row r="455">
      <c r="D455" s="461" t="n"/>
    </row>
    <row r="456">
      <c r="D456" s="461" t="n"/>
    </row>
    <row r="457">
      <c r="D457" s="461" t="n"/>
    </row>
    <row r="458">
      <c r="D458" s="461" t="n"/>
    </row>
    <row r="459">
      <c r="D459" s="461" t="n"/>
    </row>
    <row r="460">
      <c r="D460" s="461" t="n"/>
    </row>
    <row r="461">
      <c r="D461" s="461" t="n"/>
    </row>
    <row r="462">
      <c r="D462" s="461" t="n"/>
    </row>
    <row r="463">
      <c r="D463" s="461" t="n"/>
    </row>
    <row r="464">
      <c r="D464" s="461" t="n"/>
    </row>
    <row r="465">
      <c r="D465" s="461" t="n"/>
    </row>
    <row r="466">
      <c r="D466" s="461" t="n"/>
    </row>
    <row r="467">
      <c r="D467" s="461" t="n"/>
    </row>
    <row r="468">
      <c r="D468" s="461" t="n"/>
    </row>
    <row r="469">
      <c r="D469" s="461" t="n"/>
    </row>
    <row r="470">
      <c r="D470" s="461" t="n"/>
    </row>
    <row r="471">
      <c r="D471" s="461" t="n"/>
    </row>
    <row r="472">
      <c r="D472" s="461" t="n"/>
    </row>
    <row r="473">
      <c r="D473" s="461" t="n"/>
    </row>
    <row r="474">
      <c r="D474" s="461" t="n"/>
    </row>
    <row r="475">
      <c r="D475" s="461" t="n"/>
    </row>
    <row r="476">
      <c r="D476" s="461" t="n"/>
    </row>
    <row r="477">
      <c r="D477" s="461" t="n"/>
    </row>
    <row r="478">
      <c r="D478" s="461" t="n"/>
    </row>
    <row r="479">
      <c r="D479" s="461" t="n"/>
    </row>
    <row r="480">
      <c r="D480" s="461" t="n"/>
    </row>
    <row r="481">
      <c r="D481" s="461" t="n"/>
    </row>
    <row r="482">
      <c r="D482" s="461" t="n"/>
    </row>
    <row r="483">
      <c r="D483" s="461" t="n"/>
    </row>
    <row r="484">
      <c r="D484" s="461" t="n"/>
    </row>
    <row r="485">
      <c r="D485" s="461" t="n"/>
    </row>
    <row r="486">
      <c r="D486" s="461" t="n"/>
    </row>
    <row r="487">
      <c r="D487" s="461" t="n"/>
    </row>
    <row r="488">
      <c r="D488" s="461" t="n"/>
    </row>
    <row r="489">
      <c r="D489" s="461" t="n"/>
    </row>
    <row r="490">
      <c r="D490" s="461" t="n"/>
    </row>
    <row r="491">
      <c r="D491" s="461" t="n"/>
    </row>
    <row r="492">
      <c r="D492" s="461" t="n"/>
    </row>
    <row r="493">
      <c r="D493" s="461" t="n"/>
    </row>
    <row r="494">
      <c r="D494" s="461" t="n"/>
    </row>
    <row r="495">
      <c r="D495" s="461" t="n"/>
    </row>
    <row r="496">
      <c r="D496" s="461" t="n"/>
    </row>
    <row r="497">
      <c r="D497" s="461" t="n"/>
    </row>
    <row r="498">
      <c r="D498" s="461" t="n"/>
    </row>
    <row r="499">
      <c r="D499" s="461" t="n"/>
    </row>
    <row r="500">
      <c r="D500" s="461"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
  <sheetViews>
    <sheetView workbookViewId="0">
      <pane ySplit="2" topLeftCell="A3" activePane="bottomLeft" state="frozen"/>
      <selection pane="bottomLeft" activeCell="A1" sqref="A1"/>
    </sheetView>
  </sheetViews>
  <sheetFormatPr baseColWidth="8" defaultRowHeight="15"/>
  <sheetData>
    <row r="1" ht="40" customHeight="1" s="304">
      <c r="A1" s="448" t="inlineStr">
        <is>
          <t>Learned merchant to category map. Hidden helper. A correction is written once and then reused. Do not delete rows.</t>
        </is>
      </c>
    </row>
    <row r="2" ht="32" customHeight="1" s="304">
      <c r="A2" s="449" t="inlineStr">
        <is>
          <t>Pattern</t>
        </is>
      </c>
      <c r="B2" s="449" t="inlineStr">
        <is>
          <t>Category</t>
        </is>
      </c>
      <c r="C2" s="449" t="inlineStr">
        <is>
          <t>Source</t>
        </is>
      </c>
      <c r="D2" s="449" t="inlineStr">
        <is>
          <t>Last 4</t>
        </is>
      </c>
      <c r="E2" s="449" t="inlineStr">
        <is>
          <t>Confirmed</t>
        </is>
      </c>
      <c r="F2" s="449" t="inlineStr">
        <is>
          <t>Example</t>
        </is>
      </c>
      <c r="G2" s="449" t="inlineStr">
        <is>
          <t>Updated</t>
        </is>
      </c>
    </row>
  </sheetData>
  <mergeCells count="1">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
  <sheetViews>
    <sheetView workbookViewId="0">
      <pane ySplit="2" topLeftCell="A3" activePane="bottomLeft" state="frozen"/>
      <selection pane="bottomLeft" activeCell="A1" sqref="A1"/>
    </sheetView>
  </sheetViews>
  <sheetFormatPr baseColWidth="8" defaultRowHeight="15"/>
  <sheetData>
    <row r="1" ht="40" customHeight="1" s="304">
      <c r="A1" s="448" t="inlineStr">
        <is>
          <t>One row per imported statement. A second import of the same period adds nothing. Hidden helper.</t>
        </is>
      </c>
    </row>
    <row r="2" ht="32" customHeight="1" s="304">
      <c r="A2" s="449" t="inlineStr">
        <is>
          <t>Statement id</t>
        </is>
      </c>
      <c r="B2" s="449" t="inlineStr">
        <is>
          <t>Issuer</t>
        </is>
      </c>
      <c r="C2" s="449" t="inlineStr">
        <is>
          <t>Product</t>
        </is>
      </c>
      <c r="D2" s="449" t="inlineStr">
        <is>
          <t>Last 4s</t>
        </is>
      </c>
      <c r="E2" s="449" t="inlineStr">
        <is>
          <t>Period start</t>
        </is>
      </c>
      <c r="F2" s="449" t="inlineStr">
        <is>
          <t>Period end</t>
        </is>
      </c>
      <c r="G2" s="449" t="inlineStr">
        <is>
          <t>Statement date</t>
        </is>
      </c>
      <c r="H2" s="449" t="inlineStr">
        <is>
          <t>Due date</t>
        </is>
      </c>
      <c r="I2" s="449" t="inlineStr">
        <is>
          <t>Minimum</t>
        </is>
      </c>
      <c r="J2" s="449" t="inlineStr">
        <is>
          <t>Amount due</t>
        </is>
      </c>
      <c r="K2" s="449" t="inlineStr">
        <is>
          <t>Amount remaining</t>
        </is>
      </c>
      <c r="L2" s="449" t="inlineStr">
        <is>
          <t>File</t>
        </is>
      </c>
      <c r="M2" s="449" t="inlineStr">
        <is>
          <t>Paid status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SkybatanX</dc:creator>
  <dc:title>Family Book - Household Income &amp; Expense Tracker v1.2</dc:title>
  <dc:description>Originally based on a Microsoft template and since adapted. Feel free to share, but please keep this copyright notice.</dc:description>
  <dc:subject>Family Book - Household Income &amp; Expense Tracker v1.2</dc:subject>
  <dcterms:created xsi:type="dcterms:W3CDTF">2003-04-01T00:58:52Z</dcterms:created>
  <dcterms:modified xsi:type="dcterms:W3CDTF">2026-10-22T05:56:01Z</dcterms:modified>
  <cp:lastModifiedBy>SkybatanX</cp:lastModifiedBy>
  <cp:revision>1</cp:revision>
  <cp:keywords>family budget, household expenses</cp:keywords>
  <cp:lastPrinted>2006-11-23T01:18:41Z</cp:lastPrinted>
</cp:coreProperties>
</file>

<file path=docProps/custom.xml><?xml version="1.0" encoding="utf-8"?>
<Properties xmlns:vt="http://schemas.openxmlformats.org/officeDocument/2006/docPropsVTypes" xmlns="http://schemas.openxmlformats.org/officeDocument/2006/custom-properties">
  <property name="_TemplateID" fmtid="{D5CDD505-2E9C-101B-9397-08002B2CF9AE}" pid="2">
    <vt:lpwstr>TC011448821028</vt:lpwstr>
  </property>
</Properties>
</file>