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21765" windowWidth="38640" windowHeight="21120" tabRatio="816" firstSheet="0" activeTab="0" autoFilterDateGrouping="1"/>
  </bookViews>
  <sheets>
    <sheet name="Annual Summary" sheetId="1" state="visible" r:id="rId1"/>
    <sheet name="Jan" sheetId="2" state="visible" r:id="rId2"/>
    <sheet name="Feb" sheetId="3" state="visible" r:id="rId3"/>
    <sheet name="Mar" sheetId="4" state="visible" r:id="rId4"/>
    <sheet name="Apr" sheetId="5" state="visible" r:id="rId5"/>
    <sheet name="May" sheetId="6" state="visible" r:id="rId6"/>
    <sheet name="Jun" sheetId="7" state="visible" r:id="rId7"/>
    <sheet name="Jul" sheetId="8" state="visible" r:id="rId8"/>
    <sheet name="Aug" sheetId="9" state="visible" r:id="rId9"/>
    <sheet name="Sep" sheetId="10" state="visible" r:id="rId10"/>
    <sheet name="Oct" sheetId="11" state="visible" r:id="rId11"/>
    <sheet name="Nov" sheetId="12" state="visible" r:id="rId12"/>
    <sheet name="Dec" sheetId="13" state="visible" r:id="rId13"/>
    <sheet name="Holidays" sheetId="14" state="visible" r:id="rId14"/>
    <sheet name="Cards" sheetId="15" state="visible" r:id="rId15"/>
    <sheet name="Log" sheetId="16" state="hidden" r:id="rId16"/>
    <sheet name="Merchant Map" sheetId="17" state="hidden" r:id="rId17"/>
    <sheet name="Statements" sheetId="18" state="hidden" r:id="rId18"/>
  </sheets>
  <definedNames>
    <definedName name="_xlnm.Print_Titles" localSheetId="1">'Jan'!$I:$I</definedName>
    <definedName name="_xlnm.Print_Area" localSheetId="1">'Jan'!$A$1:$BS$44</definedName>
    <definedName name="_xlnm.Print_Titles" localSheetId="2">'Feb'!$I:$I</definedName>
    <definedName name="_xlnm.Print_Titles" localSheetId="3">'Mar'!$I:$I</definedName>
    <definedName name="_xlnm.Print_Titles" localSheetId="4">'Apr'!$I:$I</definedName>
    <definedName name="_xlnm.Print_Titles" localSheetId="5">'May'!$I:$I</definedName>
    <definedName name="_xlnm.Print_Titles" localSheetId="6">'Jun'!$I:$I</definedName>
    <definedName name="_xlnm.Print_Titles" localSheetId="7">'Jul'!$I:$I</definedName>
    <definedName name="_xlnm.Print_Titles" localSheetId="8">'Aug'!$I:$I</definedName>
    <definedName name="_xlnm.Print_Titles" localSheetId="9">'Sep'!$I:$I</definedName>
    <definedName name="_xlnm.Print_Titles" localSheetId="10">'Oct'!$I:$I</definedName>
    <definedName name="_xlnm.Print_Titles" localSheetId="11">'Nov'!$I:$I</definedName>
    <definedName name="_xlnm.Print_Titles" localSheetId="12">'Dec'!$I:$I</definedName>
    <definedName name="_xlnm._FilterDatabase" localSheetId="14" hidden="1">'Cards'!$A$2:$P$2</definedName>
  </definedNames>
  <calcPr calcId="191029" fullCalcOnLoad="1"/>
</workbook>
</file>

<file path=xl/styles.xml><?xml version="1.0" encoding="utf-8"?>
<styleSheet xmlns="http://schemas.openxmlformats.org/spreadsheetml/2006/main">
  <numFmts count="12">
    <numFmt numFmtId="164" formatCode="[$CAD]\ #,##0;[Red][$CAD]\ \-#,##0"/>
    <numFmt numFmtId="165" formatCode="0.0%"/>
    <numFmt numFmtId="166" formatCode="_-&quot;$&quot;* #,##0_-;\-&quot;$&quot;* #,##0_-;_-&quot;$&quot;* &quot;-&quot;??_-;_-@_-"/>
    <numFmt numFmtId="167" formatCode="yyyy\-mm\-dd;@"/>
    <numFmt numFmtId="168" formatCode="d"/>
    <numFmt numFmtId="169" formatCode="#,##0.0000_);[Red]\(#,##0.0000\)"/>
    <numFmt numFmtId="170" formatCode="#,##0.0000;[Red]\-#,##0.0000"/>
    <numFmt numFmtId="171" formatCode="[$-1009]d\-mmm\-yy;@"/>
    <numFmt numFmtId="172" formatCode="_-* #,##0.00_-;\-* #,##0.00_-;_-* &quot;-&quot;??_-;_-@_-"/>
    <numFmt numFmtId="173" formatCode="_-&quot;$&quot;* #,##0.00_-;\-&quot;$&quot;* #,##0.00_-;_-&quot;$&quot;* &quot;-&quot;??_-;_-@_-"/>
    <numFmt numFmtId="174" formatCode="yyyy/m/d;@"/>
    <numFmt numFmtId="175" formatCode="YYYY-MM-DD"/>
  </numFmts>
  <fonts count="49">
    <font>
      <name val="Calibri"/>
      <family val="2"/>
      <sz val="11"/>
    </font>
    <font>
      <name val="Calibri"/>
      <family val="1"/>
      <sz val="11"/>
    </font>
    <font>
      <name val="Calibri"/>
      <family val="2"/>
      <color indexed="12"/>
      <sz val="11"/>
      <u val="single"/>
    </font>
    <font>
      <name val="Calibri"/>
      <family val="2"/>
      <sz val="11"/>
    </font>
    <font>
      <name val="Arial"/>
      <family val="2"/>
      <sz val="12"/>
    </font>
    <font>
      <name val="Arial"/>
      <family val="2"/>
      <sz val="11"/>
    </font>
    <font>
      <name val="Calibri"/>
      <family val="2"/>
      <color theme="1"/>
      <sz val="11"/>
      <scheme val="minor"/>
    </font>
    <font>
      <name val="Calibri"/>
      <family val="2"/>
      <color theme="11"/>
      <sz val="11"/>
      <u val="single"/>
    </font>
    <font>
      <name val="Arial"/>
      <charset val="136"/>
      <family val="1"/>
      <b val="1"/>
      <color indexed="62"/>
      <sz val="11"/>
    </font>
    <font>
      <name val="Arial"/>
      <charset val="128"/>
      <family val="2"/>
      <sz val="11"/>
    </font>
    <font>
      <name val="Arial"/>
      <charset val="136"/>
      <family val="1"/>
      <b val="1"/>
      <color indexed="10"/>
      <sz val="10"/>
    </font>
    <font>
      <name val="Arial"/>
      <charset val="136"/>
      <family val="1"/>
      <b val="1"/>
      <color indexed="9"/>
      <sz val="12"/>
    </font>
    <font>
      <name val="Arial"/>
      <charset val="136"/>
      <family val="1"/>
      <b val="1"/>
      <color indexed="12"/>
      <sz val="10"/>
    </font>
    <font>
      <name val="Arial"/>
      <charset val="136"/>
      <family val="1"/>
      <sz val="10"/>
    </font>
    <font>
      <name val="Arial"/>
      <charset val="136"/>
      <family val="1"/>
      <b val="1"/>
      <color indexed="12"/>
      <sz val="12"/>
    </font>
    <font>
      <name val="Arial"/>
      <charset val="136"/>
      <family val="1"/>
      <b val="1"/>
      <sz val="12"/>
    </font>
    <font>
      <name val="Arial"/>
      <charset val="136"/>
      <family val="1"/>
      <color indexed="9"/>
      <sz val="10"/>
    </font>
    <font>
      <name val="Arial"/>
      <charset val="128"/>
      <family val="2"/>
      <color indexed="9"/>
      <sz val="11"/>
      <u val="single"/>
    </font>
    <font>
      <name val="Arial"/>
      <charset val="136"/>
      <family val="1"/>
      <b val="1"/>
      <color indexed="9"/>
      <sz val="10"/>
    </font>
    <font>
      <name val="Arial"/>
      <charset val="136"/>
      <family val="1"/>
      <sz val="12"/>
    </font>
    <font>
      <name val="Arial"/>
      <b val="1"/>
      <color rgb="FFFF0000"/>
      <sz val="10"/>
    </font>
    <font>
      <name val="Arial"/>
      <charset val="136"/>
      <family val="1"/>
      <color indexed="9"/>
      <sz val="11"/>
    </font>
    <font>
      <name val="Arial"/>
      <charset val="136"/>
      <family val="1"/>
      <sz val="20"/>
    </font>
    <font>
      <name val="Arial"/>
      <charset val="136"/>
      <family val="1"/>
      <color indexed="9"/>
      <sz val="12"/>
    </font>
    <font>
      <name val="Arial"/>
      <charset val="136"/>
      <family val="1"/>
      <b val="1"/>
      <color indexed="10"/>
      <sz val="12"/>
    </font>
    <font>
      <name val="Arial"/>
      <charset val="128"/>
      <family val="2"/>
      <color indexed="12"/>
      <sz val="11"/>
      <u val="single"/>
    </font>
    <font>
      <name val="Arial"/>
      <charset val="136"/>
      <family val="1"/>
      <i val="1"/>
      <color indexed="12"/>
      <sz val="10"/>
    </font>
    <font>
      <name val="Arial"/>
      <charset val="136"/>
      <family val="1"/>
      <sz val="11"/>
    </font>
    <font>
      <name val="Arial"/>
      <charset val="136"/>
      <family val="1"/>
      <b val="1"/>
      <sz val="14"/>
    </font>
    <font>
      <name val="Arial"/>
      <charset val="134"/>
      <family val="3"/>
      <sz val="11"/>
    </font>
    <font>
      <name val="Arial"/>
      <charset val="134"/>
      <family val="3"/>
      <sz val="12"/>
    </font>
    <font>
      <name val="Arial"/>
      <charset val="136"/>
      <family val="1"/>
      <sz val="16"/>
    </font>
    <font>
      <name val="Arial"/>
      <charset val="134"/>
      <family val="3"/>
      <b val="1"/>
      <color indexed="10"/>
      <sz val="10"/>
    </font>
    <font>
      <name val="Calibri"/>
      <family val="2"/>
      <b val="1"/>
      <color theme="1"/>
      <sz val="11"/>
      <scheme val="minor"/>
    </font>
    <font>
      <name val="Calibri"/>
      <family val="2"/>
      <color theme="1"/>
      <sz val="11"/>
      <scheme val="minor"/>
    </font>
    <font>
      <name val="Arial"/>
      <charset val="128"/>
      <family val="2"/>
      <color rgb="FFFF0000"/>
      <sz val="11"/>
    </font>
    <font>
      <name val="Arial"/>
      <sz val="11"/>
    </font>
    <font>
      <name val="Arial"/>
      <b val="1"/>
      <sz val="11"/>
    </font>
    <font>
      <name val="Arial"/>
      <charset val="136"/>
      <family val="1"/>
      <b val="1"/>
      <color indexed="9"/>
      <sz val="11"/>
    </font>
    <font>
      <name val="Arial"/>
      <charset val="136"/>
      <family val="1"/>
      <b val="1"/>
      <color indexed="10"/>
      <sz val="11"/>
    </font>
    <font>
      <name val="Arial"/>
      <charset val="136"/>
      <family val="1"/>
      <b val="1"/>
      <sz val="11"/>
    </font>
    <font>
      <name val="Arial"/>
      <charset val="136"/>
      <family val="1"/>
      <color indexed="10"/>
      <sz val="11"/>
    </font>
    <font>
      <name val="Arial"/>
      <charset val="136"/>
      <family val="1"/>
      <color indexed="12"/>
      <sz val="11"/>
    </font>
    <font>
      <name val="Arial"/>
      <charset val="134"/>
      <family val="3"/>
      <color indexed="10"/>
      <sz val="11"/>
    </font>
    <font>
      <name val="Arial"/>
      <b val="1"/>
      <color rgb="00FFFFFF"/>
      <sz val="14"/>
    </font>
    <font>
      <name val="Arial"/>
      <b val="1"/>
      <color rgb="001F4E79"/>
      <sz val="10"/>
    </font>
    <font>
      <name val="Arial"/>
      <b val="1"/>
      <color rgb="001F4E79"/>
      <sz val="11"/>
    </font>
    <font>
      <name val="Calibri"/>
      <b val="1"/>
      <sz val="11"/>
    </font>
    <font>
      <name val="Calibri"/>
      <sz val="11"/>
    </font>
  </fonts>
  <fills count="15">
    <fill>
      <patternFill/>
    </fill>
    <fill>
      <patternFill patternType="gray125"/>
    </fill>
    <fill>
      <patternFill patternType="solid">
        <fgColor indexed="62"/>
        <bgColor indexed="64"/>
      </patternFill>
    </fill>
    <fill>
      <patternFill patternType="solid">
        <fgColor indexed="44"/>
        <bgColor indexed="64"/>
      </patternFill>
    </fill>
    <fill>
      <patternFill patternType="solid">
        <fgColor indexed="47"/>
        <bgColor indexed="64"/>
      </patternFill>
    </fill>
    <fill>
      <patternFill patternType="solid">
        <fgColor indexed="22"/>
        <bgColor indexed="64"/>
      </patternFill>
    </fill>
    <fill>
      <patternFill patternType="solid">
        <fgColor indexed="41"/>
        <bgColor indexed="64"/>
      </patternFill>
    </fill>
    <fill>
      <patternFill patternType="solid">
        <fgColor indexed="43"/>
        <bgColor indexed="64"/>
      </patternFill>
    </fill>
    <fill>
      <patternFill patternType="solid">
        <fgColor indexed="42"/>
        <bgColor indexed="64"/>
      </patternFill>
    </fill>
    <fill>
      <patternFill patternType="solid">
        <fgColor rgb="FFFFFF00"/>
        <bgColor indexed="64"/>
      </patternFill>
    </fill>
    <fill>
      <patternFill patternType="solid">
        <fgColor theme="5" tint="0.7999816888943144"/>
        <bgColor indexed="64"/>
      </patternFill>
    </fill>
    <fill>
      <patternFill patternType="solid">
        <fgColor rgb="FFF2DCDB"/>
        <bgColor rgb="FF000000"/>
      </patternFill>
    </fill>
    <fill>
      <patternFill patternType="solid">
        <fgColor rgb="001F4E79"/>
      </patternFill>
    </fill>
    <fill>
      <patternFill patternType="solid">
        <fgColor rgb="00D6E3F0"/>
      </patternFill>
    </fill>
    <fill>
      <patternFill patternType="solid">
        <fgColor rgb="00FFF2CC"/>
      </patternFill>
    </fill>
  </fills>
  <borders count="136">
    <border>
      <left/>
      <right/>
      <top/>
      <bottom/>
      <diagonal/>
    </border>
    <border>
      <left/>
      <right/>
      <top style="medium">
        <color indexed="62"/>
      </top>
      <bottom style="medium">
        <color indexed="62"/>
      </bottom>
      <diagonal/>
    </border>
    <border>
      <left/>
      <right style="thin">
        <color indexed="62"/>
      </right>
      <top style="medium">
        <color indexed="62"/>
      </top>
      <bottom style="medium">
        <color indexed="62"/>
      </bottom>
      <diagonal/>
    </border>
    <border>
      <left/>
      <right style="medium">
        <color indexed="62"/>
      </right>
      <top style="medium">
        <color indexed="62"/>
      </top>
      <bottom style="medium">
        <color indexed="62"/>
      </bottom>
      <diagonal/>
    </border>
    <border>
      <left style="medium">
        <color indexed="62"/>
      </left>
      <right style="medium">
        <color indexed="62"/>
      </right>
      <top style="medium">
        <color indexed="62"/>
      </top>
      <bottom style="thin">
        <color indexed="62"/>
      </bottom>
      <diagonal/>
    </border>
    <border>
      <left style="medium">
        <color indexed="62"/>
      </left>
      <right style="medium">
        <color indexed="62"/>
      </right>
      <top/>
      <bottom/>
      <diagonal/>
    </border>
    <border>
      <left style="medium">
        <color indexed="54"/>
      </left>
      <right style="dashed">
        <color indexed="54"/>
      </right>
      <top style="medium">
        <color indexed="54"/>
      </top>
      <bottom style="dashed">
        <color indexed="54"/>
      </bottom>
      <diagonal/>
    </border>
    <border>
      <left style="dashed">
        <color indexed="54"/>
      </left>
      <right style="dashed">
        <color indexed="54"/>
      </right>
      <top style="medium">
        <color indexed="54"/>
      </top>
      <bottom style="dashed">
        <color indexed="54"/>
      </bottom>
      <diagonal/>
    </border>
    <border>
      <left style="dashed">
        <color indexed="54"/>
      </left>
      <right style="medium">
        <color indexed="54"/>
      </right>
      <top style="medium">
        <color indexed="54"/>
      </top>
      <bottom style="dashed">
        <color indexed="54"/>
      </bottom>
      <diagonal/>
    </border>
    <border>
      <left style="medium">
        <color indexed="62"/>
      </left>
      <right style="dashed">
        <color indexed="62"/>
      </right>
      <top style="medium">
        <color indexed="62"/>
      </top>
      <bottom style="dashed">
        <color indexed="62"/>
      </bottom>
      <diagonal/>
    </border>
    <border>
      <left style="dashed">
        <color indexed="62"/>
      </left>
      <right style="medium">
        <color indexed="62"/>
      </right>
      <top style="medium">
        <color indexed="62"/>
      </top>
      <bottom style="dashed">
        <color indexed="62"/>
      </bottom>
      <diagonal/>
    </border>
    <border>
      <left style="medium">
        <color indexed="54"/>
      </left>
      <right style="dashed">
        <color indexed="54"/>
      </right>
      <top/>
      <bottom style="dashed">
        <color indexed="54"/>
      </bottom>
      <diagonal/>
    </border>
    <border>
      <left style="medium">
        <color indexed="62"/>
      </left>
      <right style="dashed">
        <color indexed="62"/>
      </right>
      <top style="dashed">
        <color indexed="62"/>
      </top>
      <bottom style="dashed">
        <color indexed="62"/>
      </bottom>
      <diagonal/>
    </border>
    <border>
      <left style="medium">
        <color indexed="54"/>
      </left>
      <right style="dashed">
        <color indexed="54"/>
      </right>
      <top style="dashed">
        <color indexed="54"/>
      </top>
      <bottom style="hair">
        <color indexed="54"/>
      </bottom>
      <diagonal/>
    </border>
    <border>
      <left style="medium">
        <color indexed="54"/>
      </left>
      <right style="hair">
        <color indexed="54"/>
      </right>
      <top style="hair">
        <color indexed="54"/>
      </top>
      <bottom style="medium">
        <color indexed="54"/>
      </bottom>
      <diagonal/>
    </border>
    <border>
      <left style="medium">
        <color indexed="62"/>
      </left>
      <right style="dashed">
        <color indexed="62"/>
      </right>
      <top style="dashed">
        <color indexed="62"/>
      </top>
      <bottom style="medium">
        <color indexed="62"/>
      </bottom>
      <diagonal/>
    </border>
    <border>
      <left style="dashed">
        <color indexed="62"/>
      </left>
      <right style="dashed">
        <color indexed="62"/>
      </right>
      <top style="medium">
        <color indexed="62"/>
      </top>
      <bottom style="dashed">
        <color indexed="62"/>
      </bottom>
      <diagonal/>
    </border>
    <border>
      <left style="medium">
        <color indexed="62"/>
      </left>
      <right style="medium">
        <color indexed="62"/>
      </right>
      <top style="double">
        <color indexed="62"/>
      </top>
      <bottom style="double">
        <color indexed="62"/>
      </bottom>
      <diagonal/>
    </border>
    <border>
      <left style="medium">
        <color indexed="62"/>
      </left>
      <right style="medium">
        <color indexed="62"/>
      </right>
      <top/>
      <bottom style="dashed">
        <color indexed="62"/>
      </bottom>
      <diagonal/>
    </border>
    <border>
      <left style="medium">
        <color indexed="62"/>
      </left>
      <right style="medium">
        <color indexed="62"/>
      </right>
      <top style="dashed">
        <color indexed="62"/>
      </top>
      <bottom style="dashed">
        <color indexed="62"/>
      </bottom>
      <diagonal/>
    </border>
    <border>
      <left style="medium">
        <color indexed="62"/>
      </left>
      <right style="medium">
        <color indexed="62"/>
      </right>
      <top style="medium">
        <color indexed="62"/>
      </top>
      <bottom style="medium">
        <color indexed="62"/>
      </bottom>
      <diagonal/>
    </border>
    <border>
      <left style="thin">
        <color indexed="62"/>
      </left>
      <right style="dashed">
        <color indexed="62"/>
      </right>
      <top style="medium">
        <color indexed="62"/>
      </top>
      <bottom style="thin">
        <color indexed="62"/>
      </bottom>
      <diagonal/>
    </border>
    <border>
      <left style="dashed">
        <color indexed="62"/>
      </left>
      <right style="medium">
        <color indexed="62"/>
      </right>
      <top style="medium">
        <color indexed="62"/>
      </top>
      <bottom style="thin">
        <color indexed="62"/>
      </bottom>
      <diagonal/>
    </border>
    <border>
      <left style="dashed">
        <color indexed="62"/>
      </left>
      <right style="thin">
        <color indexed="62"/>
      </right>
      <top style="medium">
        <color indexed="62"/>
      </top>
      <bottom style="thin">
        <color indexed="62"/>
      </bottom>
      <diagonal/>
    </border>
    <border>
      <left style="thin">
        <color indexed="62"/>
      </left>
      <right/>
      <top style="medium">
        <color indexed="62"/>
      </top>
      <bottom style="medium">
        <color indexed="62"/>
      </bottom>
      <diagonal/>
    </border>
    <border>
      <left style="medium">
        <color indexed="62"/>
      </left>
      <right style="dashed">
        <color indexed="62"/>
      </right>
      <top style="medium">
        <color indexed="62"/>
      </top>
      <bottom style="thin">
        <color indexed="62"/>
      </bottom>
      <diagonal/>
    </border>
    <border>
      <left style="medium">
        <color indexed="62"/>
      </left>
      <right style="medium">
        <color indexed="62"/>
      </right>
      <top style="medium">
        <color indexed="62"/>
      </top>
      <bottom/>
      <diagonal/>
    </border>
    <border>
      <left style="medium">
        <color indexed="62"/>
      </left>
      <right style="medium">
        <color indexed="62"/>
      </right>
      <top style="medium">
        <color indexed="62"/>
      </top>
      <bottom style="hair">
        <color indexed="62"/>
      </bottom>
      <diagonal/>
    </border>
    <border>
      <left style="medium">
        <color indexed="62"/>
      </left>
      <right style="medium">
        <color indexed="62"/>
      </right>
      <top style="hair">
        <color indexed="62"/>
      </top>
      <bottom style="medium">
        <color indexed="62"/>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auto="1"/>
      </right>
      <top style="thin">
        <color auto="1"/>
      </top>
      <bottom style="medium">
        <color auto="1"/>
      </bottom>
      <diagonal/>
    </border>
    <border>
      <left style="medium">
        <color auto="1"/>
      </left>
      <right style="medium">
        <color auto="1"/>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style="thin">
        <color auto="1"/>
      </right>
      <top/>
      <bottom style="medium">
        <color auto="1"/>
      </bottom>
      <diagonal/>
    </border>
    <border>
      <left style="medium">
        <color auto="1"/>
      </left>
      <right style="medium">
        <color auto="1"/>
      </right>
      <top/>
      <bottom style="medium">
        <color auto="1"/>
      </bottom>
      <diagonal/>
    </border>
    <border>
      <left/>
      <right style="thin">
        <color auto="1"/>
      </right>
      <top style="medium">
        <color auto="1"/>
      </top>
      <bottom style="medium">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indexed="62"/>
      </left>
      <right style="dashed">
        <color indexed="62"/>
      </right>
      <top style="thin">
        <color indexed="62"/>
      </top>
      <bottom style="dashed">
        <color indexed="62"/>
      </bottom>
      <diagonal/>
    </border>
    <border>
      <left style="dashed">
        <color indexed="62"/>
      </left>
      <right style="thin">
        <color indexed="62"/>
      </right>
      <top style="thin">
        <color indexed="62"/>
      </top>
      <bottom style="dashed">
        <color indexed="62"/>
      </bottom>
      <diagonal/>
    </border>
    <border>
      <left style="thin">
        <color indexed="62"/>
      </left>
      <right style="dashed">
        <color indexed="62"/>
      </right>
      <top style="thin">
        <color indexed="62"/>
      </top>
      <bottom style="dashed">
        <color indexed="62"/>
      </bottom>
      <diagonal/>
    </border>
    <border>
      <left style="dashed">
        <color indexed="62"/>
      </left>
      <right style="medium">
        <color indexed="62"/>
      </right>
      <top style="thin">
        <color indexed="62"/>
      </top>
      <bottom style="dashed">
        <color indexed="62"/>
      </bottom>
      <diagonal/>
    </border>
    <border>
      <left style="dashed">
        <color indexed="62"/>
      </left>
      <right style="thin">
        <color indexed="62"/>
      </right>
      <top style="dashed">
        <color indexed="62"/>
      </top>
      <bottom style="dashed">
        <color indexed="62"/>
      </bottom>
      <diagonal/>
    </border>
    <border>
      <left style="thin">
        <color indexed="62"/>
      </left>
      <right style="dashed">
        <color indexed="62"/>
      </right>
      <top style="dashed">
        <color indexed="62"/>
      </top>
      <bottom style="dashed">
        <color indexed="62"/>
      </bottom>
      <diagonal/>
    </border>
    <border>
      <left style="dashed">
        <color indexed="62"/>
      </left>
      <right style="medium">
        <color indexed="62"/>
      </right>
      <top style="dashed">
        <color indexed="62"/>
      </top>
      <bottom style="dashed">
        <color indexed="62"/>
      </bottom>
      <diagonal/>
    </border>
    <border>
      <left style="dashed">
        <color indexed="54"/>
      </left>
      <right style="dashed">
        <color indexed="54"/>
      </right>
      <top/>
      <bottom style="dashed">
        <color indexed="54"/>
      </bottom>
      <diagonal/>
    </border>
    <border>
      <left style="dashed">
        <color indexed="54"/>
      </left>
      <right style="medium">
        <color indexed="54"/>
      </right>
      <top/>
      <bottom style="dashed">
        <color indexed="54"/>
      </bottom>
      <diagonal/>
    </border>
    <border>
      <left style="dashed">
        <color indexed="54"/>
      </left>
      <right style="dashed">
        <color indexed="54"/>
      </right>
      <top style="dashed">
        <color indexed="54"/>
      </top>
      <bottom style="dashed">
        <color indexed="54"/>
      </bottom>
      <diagonal/>
    </border>
    <border>
      <left style="dashed">
        <color indexed="54"/>
      </left>
      <right style="medium">
        <color indexed="54"/>
      </right>
      <top style="dashed">
        <color indexed="54"/>
      </top>
      <bottom style="dashed">
        <color indexed="54"/>
      </bottom>
      <diagonal/>
    </border>
    <border>
      <left style="dashed">
        <color indexed="54"/>
      </left>
      <right style="dashed">
        <color indexed="54"/>
      </right>
      <top style="dashed">
        <color indexed="54"/>
      </top>
      <bottom style="hair">
        <color indexed="54"/>
      </bottom>
      <diagonal/>
    </border>
    <border>
      <left style="dashed">
        <color indexed="54"/>
      </left>
      <right style="medium">
        <color indexed="54"/>
      </right>
      <top style="dashed">
        <color indexed="54"/>
      </top>
      <bottom style="hair">
        <color indexed="54"/>
      </bottom>
      <diagonal/>
    </border>
    <border>
      <left style="dashed">
        <color indexed="62"/>
      </left>
      <right style="dashed">
        <color indexed="62"/>
      </right>
      <top style="dashed">
        <color indexed="62"/>
      </top>
      <bottom style="medium">
        <color indexed="62"/>
      </bottom>
      <diagonal/>
    </border>
    <border>
      <left style="hair">
        <color indexed="54"/>
      </left>
      <right style="medium">
        <color indexed="54"/>
      </right>
      <top style="hair">
        <color indexed="54"/>
      </top>
      <bottom style="medium">
        <color indexed="54"/>
      </bottom>
      <diagonal/>
    </border>
    <border>
      <left style="dashed">
        <color indexed="62"/>
      </left>
      <right style="dashed">
        <color indexed="62"/>
      </right>
      <top style="dashed">
        <color indexed="62"/>
      </top>
      <bottom style="dashed">
        <color indexed="62"/>
      </bottom>
      <diagonal/>
    </border>
    <border>
      <left style="medium">
        <color indexed="62"/>
      </left>
      <right style="dashed">
        <color indexed="62"/>
      </right>
      <top style="dashed">
        <color indexed="62"/>
      </top>
      <bottom/>
      <diagonal/>
    </border>
    <border>
      <left style="dashed">
        <color indexed="62"/>
      </left>
      <right style="thin">
        <color indexed="62"/>
      </right>
      <top style="dashed">
        <color indexed="62"/>
      </top>
      <bottom/>
      <diagonal/>
    </border>
    <border>
      <left style="thin">
        <color indexed="62"/>
      </left>
      <right style="dashed">
        <color indexed="62"/>
      </right>
      <top style="dashed">
        <color indexed="62"/>
      </top>
      <bottom/>
      <diagonal/>
    </border>
    <border>
      <left style="dashed">
        <color indexed="62"/>
      </left>
      <right style="medium">
        <color indexed="62"/>
      </right>
      <top style="dashed">
        <color indexed="62"/>
      </top>
      <bottom/>
      <diagonal/>
    </border>
    <border>
      <left style="medium">
        <color indexed="62"/>
      </left>
      <right style="dashed">
        <color indexed="62"/>
      </right>
      <top style="double">
        <color indexed="62"/>
      </top>
      <bottom style="double">
        <color indexed="62"/>
      </bottom>
      <diagonal/>
    </border>
    <border>
      <left style="dashed">
        <color indexed="62"/>
      </left>
      <right style="thin">
        <color indexed="62"/>
      </right>
      <top style="double">
        <color indexed="62"/>
      </top>
      <bottom style="double">
        <color indexed="62"/>
      </bottom>
      <diagonal/>
    </border>
    <border>
      <left style="thin">
        <color indexed="62"/>
      </left>
      <right style="dashed">
        <color indexed="62"/>
      </right>
      <top style="double">
        <color indexed="62"/>
      </top>
      <bottom style="double">
        <color indexed="62"/>
      </bottom>
      <diagonal/>
    </border>
    <border>
      <left style="dashed">
        <color indexed="62"/>
      </left>
      <right style="medium">
        <color indexed="62"/>
      </right>
      <top style="double">
        <color indexed="62"/>
      </top>
      <bottom style="double">
        <color indexed="62"/>
      </bottom>
      <diagonal/>
    </border>
    <border>
      <left style="medium">
        <color indexed="62"/>
      </left>
      <right style="dashed">
        <color indexed="62"/>
      </right>
      <top/>
      <bottom style="dashed">
        <color indexed="62"/>
      </bottom>
      <diagonal/>
    </border>
    <border>
      <left style="dashed">
        <color indexed="62"/>
      </left>
      <right style="thin">
        <color indexed="62"/>
      </right>
      <top/>
      <bottom style="dashed">
        <color indexed="62"/>
      </bottom>
      <diagonal/>
    </border>
    <border>
      <left style="thin">
        <color indexed="62"/>
      </left>
      <right style="dashed">
        <color indexed="62"/>
      </right>
      <top/>
      <bottom style="dashed">
        <color indexed="62"/>
      </bottom>
      <diagonal/>
    </border>
    <border>
      <left style="dashed">
        <color indexed="62"/>
      </left>
      <right style="medium">
        <color indexed="62"/>
      </right>
      <top/>
      <bottom style="dashed">
        <color indexed="62"/>
      </bottom>
      <diagonal/>
    </border>
    <border>
      <left style="dashed">
        <color indexed="62"/>
      </left>
      <right style="medium">
        <color indexed="62"/>
      </right>
      <top style="dashed">
        <color indexed="62"/>
      </top>
      <bottom style="medium">
        <color indexed="62"/>
      </bottom>
      <diagonal/>
    </border>
    <border>
      <left style="thin">
        <color indexed="62"/>
      </left>
      <right style="dashed">
        <color indexed="62"/>
      </right>
      <top style="dashed">
        <color indexed="62"/>
      </top>
      <bottom style="thin">
        <color indexed="62"/>
      </bottom>
      <diagonal/>
    </border>
    <border>
      <left style="dashed">
        <color indexed="62"/>
      </left>
      <right style="thin">
        <color indexed="62"/>
      </right>
      <top style="dashed">
        <color indexed="62"/>
      </top>
      <bottom style="thin">
        <color indexed="62"/>
      </bottom>
      <diagonal/>
    </border>
    <border>
      <left style="thin">
        <color indexed="62"/>
      </left>
      <right style="dashed">
        <color indexed="62"/>
      </right>
      <top style="thin">
        <color indexed="62"/>
      </top>
      <bottom/>
      <diagonal/>
    </border>
    <border>
      <left style="dashed">
        <color indexed="62"/>
      </left>
      <right style="thin">
        <color indexed="62"/>
      </right>
      <top style="thin">
        <color indexed="62"/>
      </top>
      <bottom/>
      <diagonal/>
    </border>
    <border>
      <left style="medium">
        <color indexed="62"/>
      </left>
      <right style="dashed">
        <color indexed="62"/>
      </right>
      <top/>
      <bottom/>
      <diagonal/>
    </border>
    <border>
      <left style="dashed">
        <color indexed="62"/>
      </left>
      <right style="thin">
        <color indexed="62"/>
      </right>
      <top/>
      <bottom/>
      <diagonal/>
    </border>
    <border>
      <left style="thin">
        <color indexed="62"/>
      </left>
      <right style="dashed">
        <color indexed="62"/>
      </right>
      <top/>
      <bottom/>
      <diagonal/>
    </border>
    <border>
      <left style="dashed">
        <color indexed="62"/>
      </left>
      <right style="medium">
        <color indexed="62"/>
      </right>
      <top/>
      <bottom/>
      <diagonal/>
    </border>
    <border>
      <left style="medium">
        <color indexed="62"/>
      </left>
      <right style="dashed">
        <color indexed="62"/>
      </right>
      <top style="medium">
        <color indexed="62"/>
      </top>
      <bottom style="medium">
        <color indexed="62"/>
      </bottom>
      <diagonal/>
    </border>
    <border>
      <left style="dashed">
        <color indexed="62"/>
      </left>
      <right style="thin">
        <color indexed="62"/>
      </right>
      <top style="medium">
        <color indexed="62"/>
      </top>
      <bottom style="medium">
        <color indexed="62"/>
      </bottom>
      <diagonal/>
    </border>
    <border>
      <left style="thin">
        <color indexed="62"/>
      </left>
      <right style="dashed">
        <color indexed="62"/>
      </right>
      <top style="medium">
        <color indexed="62"/>
      </top>
      <bottom style="medium">
        <color indexed="62"/>
      </bottom>
      <diagonal/>
    </border>
    <border>
      <left/>
      <right style="medium">
        <color indexed="62"/>
      </right>
      <top style="medium">
        <color indexed="62"/>
      </top>
      <bottom/>
      <diagonal/>
    </border>
    <border>
      <left style="medium">
        <color indexed="62"/>
      </left>
      <right style="dashed">
        <color indexed="54"/>
      </right>
      <top style="dashed">
        <color indexed="54"/>
      </top>
      <bottom style="dashed">
        <color indexed="54"/>
      </bottom>
      <diagonal/>
    </border>
    <border>
      <left/>
      <right/>
      <top style="medium">
        <color auto="1"/>
      </top>
      <bottom style="medium">
        <color auto="1"/>
      </bottom>
      <diagonal/>
    </border>
    <border>
      <left/>
      <right style="medium">
        <color auto="1"/>
      </right>
      <top style="medium">
        <color auto="1"/>
      </top>
      <bottom style="medium">
        <color auto="1"/>
      </bottom>
      <diagonal/>
    </border>
    <border>
      <left style="hair">
        <color indexed="62"/>
      </left>
      <right style="hair">
        <color indexed="62"/>
      </right>
      <top style="hair">
        <color indexed="62"/>
      </top>
      <bottom style="medium">
        <color indexed="62"/>
      </bottom>
      <diagonal/>
    </border>
    <border>
      <left style="hair">
        <color indexed="62"/>
      </left>
      <right style="hair">
        <color indexed="62"/>
      </right>
      <top style="medium">
        <color indexed="62"/>
      </top>
      <bottom style="hair">
        <color indexed="62"/>
      </bottom>
      <diagonal/>
    </border>
    <border>
      <left/>
      <right style="hair">
        <color indexed="62"/>
      </right>
      <top style="hair">
        <color indexed="62"/>
      </top>
      <bottom style="medium">
        <color indexed="62"/>
      </bottom>
      <diagonal/>
    </border>
    <border>
      <left/>
      <right style="hair">
        <color indexed="62"/>
      </right>
      <top style="medium">
        <color indexed="62"/>
      </top>
      <bottom style="hair">
        <color indexed="62"/>
      </bottom>
      <diagonal/>
    </border>
    <border>
      <left style="medium">
        <color indexed="62"/>
      </left>
      <right/>
      <top/>
      <bottom style="medium">
        <color indexed="62"/>
      </bottom>
      <diagonal/>
    </border>
    <border>
      <left/>
      <right style="medium">
        <color indexed="62"/>
      </right>
      <top/>
      <bottom style="medium">
        <color indexed="62"/>
      </bottom>
      <diagonal/>
    </border>
    <border>
      <left/>
      <right style="medium">
        <color indexed="18"/>
      </right>
      <top style="medium">
        <color indexed="18"/>
      </top>
      <bottom/>
      <diagonal/>
    </border>
    <border>
      <left style="medium">
        <color indexed="18"/>
      </left>
      <right/>
      <top/>
      <bottom/>
      <diagonal/>
    </border>
    <border>
      <left/>
      <right style="medium">
        <color indexed="18"/>
      </right>
      <top/>
      <bottom/>
      <diagonal/>
    </border>
    <border>
      <left style="medium">
        <color indexed="18"/>
      </left>
      <right/>
      <top/>
      <bottom style="medium">
        <color indexed="18"/>
      </bottom>
      <diagonal/>
    </border>
    <border>
      <left/>
      <right style="medium">
        <color indexed="18"/>
      </right>
      <top/>
      <bottom style="medium">
        <color indexed="18"/>
      </bottom>
      <diagonal/>
    </border>
    <border>
      <left style="medium">
        <color auto="1"/>
      </left>
      <right style="thin">
        <color auto="1"/>
      </right>
      <top/>
      <bottom style="medium">
        <color auto="1"/>
      </bottom>
      <diagonal/>
    </border>
    <border>
      <left style="medium">
        <color auto="1"/>
      </left>
      <right style="thin">
        <color auto="1"/>
      </right>
      <top/>
      <bottom/>
      <diagonal/>
    </border>
    <border>
      <left style="dashed">
        <color rgb="FF333399"/>
      </left>
      <right style="thin">
        <color rgb="FF333399"/>
      </right>
      <top/>
      <bottom style="dashed">
        <color rgb="FF333399"/>
      </bottom>
      <diagonal/>
    </border>
    <border>
      <left style="dashed">
        <color rgb="FF333399"/>
      </left>
      <right style="medium">
        <color rgb="FF333399"/>
      </right>
      <top/>
      <bottom style="dashed">
        <color rgb="FF333399"/>
      </bottom>
      <diagonal/>
    </border>
    <border>
      <left style="medium">
        <color indexed="64"/>
      </left>
      <right style="medium">
        <color auto="1"/>
      </right>
      <top/>
      <bottom style="medium">
        <color indexed="64"/>
      </bottom>
      <diagonal/>
    </border>
    <border>
      <left style="thin">
        <color auto="1"/>
      </left>
      <right style="medium">
        <color indexed="64"/>
      </right>
      <top/>
      <bottom style="medium">
        <color indexed="64"/>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18"/>
      </left>
      <right style="medium">
        <color indexed="18"/>
      </right>
      <top style="medium">
        <color indexed="18"/>
      </top>
      <bottom style="medium">
        <color indexed="18"/>
      </bottom>
      <diagonal/>
    </border>
    <border>
      <left/>
      <right style="thin">
        <color auto="1"/>
      </right>
      <top/>
      <bottom/>
      <diagonal/>
    </border>
    <border>
      <left/>
      <right style="thin">
        <color auto="1"/>
      </right>
      <top style="medium">
        <color auto="1"/>
      </top>
      <bottom/>
      <diagonal/>
    </border>
    <border>
      <left/>
      <right/>
      <top style="hair">
        <color indexed="62"/>
      </top>
      <bottom/>
      <diagonal/>
    </border>
    <border>
      <left/>
      <right style="hair">
        <color indexed="62"/>
      </right>
      <top style="hair">
        <color indexed="62"/>
      </top>
      <bottom/>
      <diagonal/>
    </border>
    <border>
      <left/>
      <right/>
      <top style="medium">
        <color indexed="62"/>
      </top>
      <bottom/>
      <diagonal/>
    </border>
    <border>
      <left/>
      <right style="hair">
        <color indexed="62"/>
      </right>
      <top style="medium">
        <color indexed="62"/>
      </top>
      <bottom/>
      <diagonal/>
    </border>
    <border>
      <left style="medium">
        <color indexed="62"/>
      </left>
      <right/>
      <top/>
      <bottom/>
      <diagonal/>
    </border>
    <border>
      <left/>
      <right style="medium">
        <color indexed="62"/>
      </right>
      <top/>
      <bottom/>
      <diagonal/>
    </border>
    <border>
      <left/>
      <right/>
      <top style="medium">
        <color indexed="18"/>
      </top>
      <bottom/>
      <diagonal/>
    </border>
    <border>
      <left style="thin">
        <color rgb="008FA8C4"/>
      </left>
      <right style="thin">
        <color rgb="008FA8C4"/>
      </right>
      <top style="thin">
        <color rgb="008FA8C4"/>
      </top>
      <bottom style="thin">
        <color rgb="008FA8C4"/>
      </bottom>
    </border>
    <border>
      <left/>
      <right/>
      <top style="thin">
        <color rgb="008FA8C4"/>
      </top>
      <bottom/>
      <diagonal/>
    </border>
    <border>
      <left/>
      <right style="thin">
        <color rgb="008FA8C4"/>
      </right>
      <top style="thin">
        <color rgb="008FA8C4"/>
      </top>
      <bottom/>
      <diagonal/>
    </border>
    <border>
      <left/>
      <right/>
      <top style="thin">
        <color rgb="008FA8C4"/>
      </top>
      <bottom style="thin">
        <color rgb="008FA8C4"/>
      </bottom>
      <diagonal/>
    </border>
    <border>
      <left/>
      <right style="thin">
        <color rgb="008FA8C4"/>
      </right>
      <top style="thin">
        <color rgb="008FA8C4"/>
      </top>
      <bottom style="thin">
        <color rgb="008FA8C4"/>
      </bottom>
      <diagonal/>
    </border>
    <border/>
  </borders>
  <cellStyleXfs count="7">
    <xf numFmtId="0" fontId="3" fillId="0" borderId="0" applyAlignment="1">
      <alignment vertical="center"/>
    </xf>
    <xf numFmtId="0" fontId="2" fillId="0" borderId="0" applyAlignment="1" applyProtection="1">
      <alignment vertical="top"/>
      <protection locked="0" hidden="0"/>
    </xf>
    <xf numFmtId="40" fontId="3" fillId="0" borderId="0" applyAlignment="1">
      <alignment vertical="center"/>
    </xf>
    <xf numFmtId="38" fontId="3" fillId="0" borderId="0" applyAlignment="1">
      <alignment vertical="center"/>
    </xf>
    <xf numFmtId="0" fontId="34" fillId="0" borderId="0"/>
    <xf numFmtId="172" fontId="34" fillId="0" borderId="0"/>
    <xf numFmtId="0" fontId="7" fillId="0" borderId="0" applyAlignment="1">
      <alignment vertical="center"/>
    </xf>
  </cellStyleXfs>
  <cellXfs count="535">
    <xf numFmtId="0" fontId="0" fillId="0" borderId="0" applyAlignment="1" pivotButton="0" quotePrefix="0" xfId="0">
      <alignment vertical="center"/>
    </xf>
    <xf numFmtId="38" fontId="1" fillId="0" borderId="0" applyAlignment="1" pivotButton="0" quotePrefix="0" xfId="3">
      <alignment vertical="center"/>
    </xf>
    <xf numFmtId="0" fontId="1" fillId="0" borderId="0" applyAlignment="1" pivotButton="0" quotePrefix="0" xfId="0">
      <alignment vertical="center"/>
    </xf>
    <xf numFmtId="0" fontId="1" fillId="0" borderId="0" applyAlignment="1" pivotButton="0" quotePrefix="0" xfId="0">
      <alignment horizontal="center" vertical="center"/>
    </xf>
    <xf numFmtId="38" fontId="1" fillId="0" borderId="0" applyAlignment="1" pivotButton="0" quotePrefix="0" xfId="2">
      <alignment vertical="center"/>
    </xf>
    <xf numFmtId="38" fontId="4" fillId="0" borderId="57" applyAlignment="1" applyProtection="1" pivotButton="0" quotePrefix="0" xfId="2">
      <alignment vertical="center"/>
      <protection locked="0" hidden="0"/>
    </xf>
    <xf numFmtId="38" fontId="4" fillId="0" borderId="58" applyAlignment="1" applyProtection="1" pivotButton="0" quotePrefix="0" xfId="2">
      <alignment vertical="center"/>
      <protection locked="0" hidden="0"/>
    </xf>
    <xf numFmtId="38" fontId="4" fillId="0" borderId="59" applyAlignment="1" applyProtection="1" pivotButton="0" quotePrefix="0" xfId="2">
      <alignment vertical="center"/>
      <protection locked="0" hidden="0"/>
    </xf>
    <xf numFmtId="38" fontId="4" fillId="0" borderId="60" applyAlignment="1" applyProtection="1" pivotButton="0" quotePrefix="0" xfId="2">
      <alignment vertical="center"/>
      <protection locked="0" hidden="0"/>
    </xf>
    <xf numFmtId="38" fontId="4" fillId="0" borderId="12" applyAlignment="1" applyProtection="1" pivotButton="0" quotePrefix="0" xfId="2">
      <alignment vertical="center"/>
      <protection locked="0" hidden="0"/>
    </xf>
    <xf numFmtId="38" fontId="4" fillId="0" borderId="61" applyAlignment="1" applyProtection="1" pivotButton="0" quotePrefix="0" xfId="2">
      <alignment vertical="center"/>
      <protection locked="0" hidden="0"/>
    </xf>
    <xf numFmtId="38" fontId="4" fillId="0" borderId="62" applyAlignment="1" applyProtection="1" pivotButton="0" quotePrefix="0" xfId="2">
      <alignment vertical="center"/>
      <protection locked="0" hidden="0"/>
    </xf>
    <xf numFmtId="38" fontId="4" fillId="0" borderId="63" applyAlignment="1" applyProtection="1" pivotButton="0" quotePrefix="0" xfId="2">
      <alignment vertical="center"/>
      <protection locked="0" hidden="0"/>
    </xf>
    <xf numFmtId="164" fontId="4" fillId="10" borderId="12" applyAlignment="1" applyProtection="1" pivotButton="0" quotePrefix="0" xfId="2">
      <alignment vertical="center"/>
      <protection locked="0" hidden="0"/>
    </xf>
    <xf numFmtId="164" fontId="4" fillId="10" borderId="61" applyAlignment="1" applyProtection="1" pivotButton="0" quotePrefix="0" xfId="2">
      <alignment vertical="center"/>
      <protection locked="0" hidden="0"/>
    </xf>
    <xf numFmtId="164" fontId="4" fillId="10" borderId="62" applyAlignment="1" applyProtection="1" pivotButton="0" quotePrefix="0" xfId="2">
      <alignment vertical="center"/>
      <protection locked="0" hidden="0"/>
    </xf>
    <xf numFmtId="164" fontId="4" fillId="10" borderId="63" applyAlignment="1" applyProtection="1" pivotButton="0" quotePrefix="0" xfId="2">
      <alignment vertical="center"/>
      <protection locked="0" hidden="0"/>
    </xf>
    <xf numFmtId="164" fontId="4" fillId="10" borderId="73" applyAlignment="1" applyProtection="1" pivotButton="0" quotePrefix="0" xfId="2">
      <alignment vertical="center"/>
      <protection locked="0" hidden="0"/>
    </xf>
    <xf numFmtId="164" fontId="4" fillId="10" borderId="74" applyAlignment="1" applyProtection="1" pivotButton="0" quotePrefix="0" xfId="2">
      <alignment vertical="center"/>
      <protection locked="0" hidden="0"/>
    </xf>
    <xf numFmtId="164" fontId="4" fillId="10" borderId="75" applyAlignment="1" applyProtection="1" pivotButton="0" quotePrefix="0" xfId="2">
      <alignment vertical="center"/>
      <protection locked="0" hidden="0"/>
    </xf>
    <xf numFmtId="164" fontId="4" fillId="10" borderId="76" applyAlignment="1" applyProtection="1" pivotButton="0" quotePrefix="0" xfId="2">
      <alignment vertical="center"/>
      <protection locked="0" hidden="0"/>
    </xf>
    <xf numFmtId="164" fontId="4" fillId="10" borderId="77" applyAlignment="1" pivotButton="0" quotePrefix="0" xfId="2">
      <alignment vertical="center"/>
    </xf>
    <xf numFmtId="164" fontId="4" fillId="10" borderId="78" applyAlignment="1" pivotButton="0" quotePrefix="0" xfId="2">
      <alignment vertical="center"/>
    </xf>
    <xf numFmtId="164" fontId="4" fillId="10" borderId="79" applyAlignment="1" pivotButton="0" quotePrefix="0" xfId="2">
      <alignment vertical="center"/>
    </xf>
    <xf numFmtId="164" fontId="4" fillId="10" borderId="80" applyAlignment="1" pivotButton="0" quotePrefix="0" xfId="2">
      <alignment vertical="center"/>
    </xf>
    <xf numFmtId="164" fontId="4" fillId="10" borderId="81" applyAlignment="1" applyProtection="1" pivotButton="0" quotePrefix="0" xfId="2">
      <alignment vertical="center"/>
      <protection locked="0" hidden="0"/>
    </xf>
    <xf numFmtId="164" fontId="4" fillId="10" borderId="82" applyAlignment="1" applyProtection="1" pivotButton="0" quotePrefix="0" xfId="2">
      <alignment vertical="center"/>
      <protection locked="0" hidden="0"/>
    </xf>
    <xf numFmtId="164" fontId="4" fillId="10" borderId="83" applyAlignment="1" applyProtection="1" pivotButton="0" quotePrefix="0" xfId="2">
      <alignment vertical="center"/>
      <protection locked="0" hidden="0"/>
    </xf>
    <xf numFmtId="164" fontId="4" fillId="10" borderId="84" applyAlignment="1" applyProtection="1" pivotButton="0" quotePrefix="0" xfId="2">
      <alignment vertical="center"/>
      <protection locked="0" hidden="0"/>
    </xf>
    <xf numFmtId="164" fontId="4" fillId="10" borderId="86" applyAlignment="1" applyProtection="1" pivotButton="0" quotePrefix="0" xfId="2">
      <alignment vertical="center"/>
      <protection locked="0" hidden="0"/>
    </xf>
    <xf numFmtId="164" fontId="4" fillId="10" borderId="87" applyAlignment="1" applyProtection="1" pivotButton="0" quotePrefix="0" xfId="2">
      <alignment vertical="center"/>
      <protection locked="0" hidden="0"/>
    </xf>
    <xf numFmtId="164" fontId="4" fillId="10" borderId="88" applyAlignment="1" applyProtection="1" pivotButton="0" quotePrefix="0" xfId="2">
      <alignment vertical="center"/>
      <protection locked="0" hidden="0"/>
    </xf>
    <xf numFmtId="164" fontId="4" fillId="10" borderId="89" applyAlignment="1" applyProtection="1" pivotButton="0" quotePrefix="0" xfId="2">
      <alignment vertical="center"/>
      <protection locked="0" hidden="0"/>
    </xf>
    <xf numFmtId="164" fontId="4" fillId="10" borderId="90" applyAlignment="1" applyProtection="1" pivotButton="0" quotePrefix="0" xfId="2">
      <alignment vertical="center"/>
      <protection locked="0" hidden="0"/>
    </xf>
    <xf numFmtId="164" fontId="4" fillId="10" borderId="91" applyAlignment="1" applyProtection="1" pivotButton="0" quotePrefix="0" xfId="2">
      <alignment vertical="center"/>
      <protection locked="0" hidden="0"/>
    </xf>
    <xf numFmtId="164" fontId="4" fillId="10" borderId="92" applyAlignment="1" applyProtection="1" pivotButton="0" quotePrefix="0" xfId="2">
      <alignment vertical="center"/>
      <protection locked="0" hidden="0"/>
    </xf>
    <xf numFmtId="164" fontId="4" fillId="10" borderId="93" applyAlignment="1" applyProtection="1" pivotButton="0" quotePrefix="0" xfId="2">
      <alignment vertical="center"/>
      <protection locked="0" hidden="0"/>
    </xf>
    <xf numFmtId="164" fontId="4" fillId="10" borderId="94" applyAlignment="1" pivotButton="0" quotePrefix="0" xfId="2">
      <alignment vertical="center"/>
    </xf>
    <xf numFmtId="164" fontId="4" fillId="10" borderId="95" applyAlignment="1" pivotButton="0" quotePrefix="0" xfId="2">
      <alignment vertical="center"/>
    </xf>
    <xf numFmtId="164" fontId="4" fillId="10" borderId="96" applyAlignment="1" pivotButton="0" quotePrefix="0" xfId="2">
      <alignment vertical="center"/>
    </xf>
    <xf numFmtId="38" fontId="5" fillId="10" borderId="66" applyAlignment="1" applyProtection="1" pivotButton="0" quotePrefix="0" xfId="2">
      <alignment vertical="center"/>
      <protection locked="0" hidden="0"/>
    </xf>
    <xf numFmtId="40" fontId="5" fillId="10" borderId="66" applyAlignment="1" applyProtection="1" pivotButton="0" quotePrefix="0" xfId="2">
      <alignment vertical="center"/>
      <protection locked="0" hidden="0"/>
    </xf>
    <xf numFmtId="0" fontId="0" fillId="0" borderId="0" pivotButton="0" quotePrefix="0" xfId="0"/>
    <xf numFmtId="164" fontId="4" fillId="11" borderId="114" applyAlignment="1" applyProtection="1" pivotButton="0" quotePrefix="0" xfId="0">
      <alignment vertical="center"/>
      <protection locked="0" hidden="0"/>
    </xf>
    <xf numFmtId="164" fontId="4" fillId="10" borderId="62" applyAlignment="1" applyProtection="1" pivotButton="0" quotePrefix="1" xfId="2">
      <alignment vertical="center"/>
      <protection locked="0" hidden="0"/>
    </xf>
    <xf numFmtId="0" fontId="5" fillId="0" borderId="0" applyAlignment="1" pivotButton="0" quotePrefix="0" xfId="0">
      <alignment vertical="center"/>
    </xf>
    <xf numFmtId="40" fontId="4" fillId="0" borderId="61" applyAlignment="1" applyProtection="1" pivotButton="0" quotePrefix="0" xfId="2">
      <alignment vertical="center"/>
      <protection locked="0" hidden="0"/>
    </xf>
    <xf numFmtId="14" fontId="5" fillId="9" borderId="0" applyAlignment="1" pivotButton="0" quotePrefix="0" xfId="0">
      <alignment vertical="center"/>
    </xf>
    <xf numFmtId="38" fontId="5" fillId="0" borderId="0" applyAlignment="1" pivotButton="0" quotePrefix="0" xfId="2">
      <alignment vertical="center"/>
    </xf>
    <xf numFmtId="40" fontId="5" fillId="0" borderId="0" applyAlignment="1" pivotButton="0" quotePrefix="0" xfId="2">
      <alignment vertical="center"/>
    </xf>
    <xf numFmtId="38" fontId="5" fillId="0" borderId="0" applyAlignment="1" pivotButton="0" quotePrefix="0" xfId="3">
      <alignment horizontal="right" vertical="center"/>
    </xf>
    <xf numFmtId="39" fontId="5" fillId="0" borderId="0" applyAlignment="1" pivotButton="0" quotePrefix="0" xfId="2">
      <alignment horizontal="center" vertical="center"/>
    </xf>
    <xf numFmtId="40" fontId="4" fillId="10" borderId="87" applyAlignment="1" applyProtection="1" pivotButton="0" quotePrefix="0" xfId="2">
      <alignment vertical="center"/>
      <protection locked="0" hidden="0"/>
    </xf>
    <xf numFmtId="40" fontId="4" fillId="10" borderId="61" applyAlignment="1" applyProtection="1" pivotButton="0" quotePrefix="0" xfId="2">
      <alignment vertical="center"/>
      <protection locked="0" hidden="0"/>
    </xf>
    <xf numFmtId="38" fontId="1" fillId="0" borderId="0" applyAlignment="1" pivotButton="0" quotePrefix="0" xfId="3">
      <alignment horizontal="left" vertical="top"/>
    </xf>
    <xf numFmtId="38" fontId="1" fillId="0" borderId="0" applyAlignment="1" pivotButton="0" quotePrefix="0" xfId="3">
      <alignment horizontal="left" vertical="center"/>
    </xf>
    <xf numFmtId="40" fontId="5" fillId="10" borderId="66" applyAlignment="1" applyProtection="1" pivotButton="0" quotePrefix="0" xfId="2">
      <alignment horizontal="left" vertical="center"/>
      <protection locked="0" hidden="0"/>
    </xf>
    <xf numFmtId="164" fontId="4" fillId="10" borderId="61" applyAlignment="1" applyProtection="1" pivotButton="0" quotePrefix="0" xfId="2">
      <alignment horizontal="left" vertical="center"/>
      <protection locked="0" hidden="0"/>
    </xf>
    <xf numFmtId="164" fontId="4" fillId="10" borderId="78" applyAlignment="1" pivotButton="0" quotePrefix="0" xfId="2">
      <alignment horizontal="left" vertical="center"/>
    </xf>
    <xf numFmtId="164" fontId="4" fillId="10" borderId="61" applyAlignment="1" applyProtection="1" pivotButton="0" quotePrefix="1" xfId="2">
      <alignment vertical="center"/>
      <protection locked="0" hidden="0"/>
    </xf>
    <xf numFmtId="164" fontId="4" fillId="10" borderId="75" applyAlignment="1" applyProtection="1" pivotButton="0" quotePrefix="1" xfId="2">
      <alignment vertical="center"/>
      <protection locked="0" hidden="0"/>
    </xf>
    <xf numFmtId="0" fontId="5" fillId="0" borderId="0" applyAlignment="1" pivotButton="0" quotePrefix="0" xfId="0">
      <alignment horizontal="left" vertical="top"/>
    </xf>
    <xf numFmtId="0" fontId="9" fillId="0" borderId="0" applyAlignment="1" pivotButton="0" quotePrefix="0" xfId="0">
      <alignment vertical="center"/>
    </xf>
    <xf numFmtId="0" fontId="9" fillId="0" borderId="0" applyAlignment="1" pivotButton="0" quotePrefix="0" xfId="0">
      <alignment vertical="center" wrapText="1"/>
    </xf>
    <xf numFmtId="0" fontId="12" fillId="7" borderId="30" applyAlignment="1" pivotButton="0" quotePrefix="0" xfId="0">
      <alignment horizontal="center" vertical="center"/>
    </xf>
    <xf numFmtId="0" fontId="14" fillId="0" borderId="0" applyAlignment="1" pivotButton="0" quotePrefix="0" xfId="0">
      <alignment vertical="center"/>
    </xf>
    <xf numFmtId="0" fontId="15" fillId="0" borderId="0" applyAlignment="1" pivotButton="0" quotePrefix="0" xfId="0">
      <alignment vertical="center"/>
    </xf>
    <xf numFmtId="0" fontId="16" fillId="2" borderId="42" applyAlignment="1" pivotButton="0" quotePrefix="0" xfId="0">
      <alignment vertical="center"/>
    </xf>
    <xf numFmtId="0" fontId="10" fillId="4" borderId="30" applyAlignment="1" pivotButton="0" quotePrefix="0" xfId="0">
      <alignment horizontal="center" vertical="center"/>
    </xf>
    <xf numFmtId="0" fontId="18" fillId="2" borderId="46" applyAlignment="1" pivotButton="0" quotePrefix="0" xfId="0">
      <alignment horizontal="center" vertical="center"/>
    </xf>
    <xf numFmtId="0" fontId="18" fillId="2" borderId="42" applyAlignment="1" pivotButton="0" quotePrefix="0" xfId="0">
      <alignment horizontal="center" vertical="center"/>
    </xf>
    <xf numFmtId="0" fontId="10" fillId="4" borderId="47" applyAlignment="1" pivotButton="0" quotePrefix="0" xfId="0">
      <alignment horizontal="center" vertical="center"/>
    </xf>
    <xf numFmtId="0" fontId="12" fillId="8" borderId="30" applyAlignment="1" pivotButton="0" quotePrefix="0" xfId="0">
      <alignment horizontal="center" vertical="center"/>
    </xf>
    <xf numFmtId="0" fontId="13" fillId="0" borderId="39" applyAlignment="1" pivotButton="0" quotePrefix="0" xfId="0">
      <alignment horizontal="left" vertical="center"/>
    </xf>
    <xf numFmtId="10" fontId="13" fillId="0" borderId="32" applyAlignment="1" pivotButton="0" quotePrefix="0" xfId="0">
      <alignment horizontal="center" vertical="center"/>
    </xf>
    <xf numFmtId="165" fontId="13" fillId="0" borderId="0" applyAlignment="1" pivotButton="0" quotePrefix="0" xfId="0">
      <alignment vertical="center"/>
    </xf>
    <xf numFmtId="0" fontId="13" fillId="0" borderId="116" applyAlignment="1" pivotButton="0" quotePrefix="0" xfId="0">
      <alignment horizontal="left" vertical="center"/>
    </xf>
    <xf numFmtId="10" fontId="13" fillId="0" borderId="117" applyAlignment="1" pivotButton="0" quotePrefix="0" xfId="0">
      <alignment horizontal="center" vertical="center"/>
    </xf>
    <xf numFmtId="0" fontId="13" fillId="0" borderId="0" applyAlignment="1" pivotButton="0" quotePrefix="0" xfId="0">
      <alignment horizontal="center" vertical="center"/>
    </xf>
    <xf numFmtId="38" fontId="13" fillId="0" borderId="0" applyAlignment="1" pivotButton="0" quotePrefix="0" xfId="0">
      <alignment vertical="center"/>
    </xf>
    <xf numFmtId="38" fontId="19" fillId="0" borderId="0" applyAlignment="1" pivotButton="0" quotePrefix="0" xfId="0">
      <alignment vertical="center"/>
    </xf>
    <xf numFmtId="0" fontId="13" fillId="0" borderId="0" applyAlignment="1" pivotButton="0" quotePrefix="0" xfId="0">
      <alignment vertical="center"/>
    </xf>
    <xf numFmtId="166" fontId="13" fillId="0" borderId="0" applyAlignment="1" pivotButton="0" quotePrefix="0" xfId="0">
      <alignment vertical="center"/>
    </xf>
    <xf numFmtId="0" fontId="13" fillId="0" borderId="0" applyAlignment="1" pivotButton="0" quotePrefix="0" xfId="0">
      <alignment horizontal="left" vertical="center"/>
    </xf>
    <xf numFmtId="14" fontId="13" fillId="0" borderId="0" applyAlignment="1" pivotButton="0" quotePrefix="0" xfId="0">
      <alignment vertical="center"/>
    </xf>
    <xf numFmtId="16" fontId="13" fillId="0" borderId="0" applyAlignment="1" pivotButton="0" quotePrefix="0" xfId="0">
      <alignment vertical="center"/>
    </xf>
    <xf numFmtId="167" fontId="13" fillId="0" borderId="0" applyAlignment="1" pivotButton="0" quotePrefix="0" xfId="0">
      <alignment vertical="center"/>
    </xf>
    <xf numFmtId="38" fontId="21" fillId="0" borderId="0" applyAlignment="1" pivotButton="0" quotePrefix="0" xfId="3">
      <alignment vertical="center"/>
    </xf>
    <xf numFmtId="0" fontId="22" fillId="5" borderId="0" applyAlignment="1" pivotButton="0" quotePrefix="0" xfId="3">
      <alignment vertical="center"/>
    </xf>
    <xf numFmtId="38" fontId="22" fillId="0" borderId="0" applyAlignment="1" pivotButton="0" quotePrefix="0" xfId="3">
      <alignment vertical="center"/>
    </xf>
    <xf numFmtId="0" fontId="22" fillId="5" borderId="0" applyAlignment="1" applyProtection="1" pivotButton="0" quotePrefix="0" xfId="3">
      <alignment vertical="center"/>
      <protection locked="0" hidden="0"/>
    </xf>
    <xf numFmtId="0" fontId="22" fillId="0" borderId="0" applyAlignment="1" pivotButton="0" quotePrefix="0" xfId="3">
      <alignment vertical="center"/>
    </xf>
    <xf numFmtId="38" fontId="23" fillId="2" borderId="26" applyAlignment="1" pivotButton="0" quotePrefix="0" xfId="3">
      <alignment horizontal="center" vertical="center"/>
    </xf>
    <xf numFmtId="168" fontId="22" fillId="0" borderId="1" applyAlignment="1" pivotButton="0" quotePrefix="0" xfId="3">
      <alignment horizontal="center" vertical="center"/>
    </xf>
    <xf numFmtId="38" fontId="13" fillId="0" borderId="2" applyAlignment="1" pivotButton="0" quotePrefix="0" xfId="3">
      <alignment horizontal="left" vertical="center"/>
    </xf>
    <xf numFmtId="168" fontId="22" fillId="0" borderId="1" applyAlignment="1" pivotButton="0" quotePrefix="1" xfId="3">
      <alignment horizontal="center" vertical="center"/>
    </xf>
    <xf numFmtId="38" fontId="13" fillId="0" borderId="3" applyAlignment="1" pivotButton="0" quotePrefix="0" xfId="3">
      <alignment horizontal="left" vertical="center"/>
    </xf>
    <xf numFmtId="38" fontId="13" fillId="0" borderId="1" applyAlignment="1" pivotButton="0" quotePrefix="0" xfId="3">
      <alignment horizontal="left" vertical="center"/>
    </xf>
    <xf numFmtId="168" fontId="22" fillId="0" borderId="24" applyAlignment="1" pivotButton="0" quotePrefix="1" xfId="3">
      <alignment horizontal="center" vertical="center"/>
    </xf>
    <xf numFmtId="0" fontId="22" fillId="0" borderId="0" applyAlignment="1" applyProtection="1" pivotButton="0" quotePrefix="0" xfId="3">
      <alignment vertical="center"/>
      <protection locked="0" hidden="0"/>
    </xf>
    <xf numFmtId="38" fontId="24" fillId="4" borderId="27" applyAlignment="1" pivotButton="0" quotePrefix="0" xfId="3">
      <alignment horizontal="center" vertical="center"/>
    </xf>
    <xf numFmtId="38" fontId="25" fillId="7" borderId="42" applyAlignment="1" pivotButton="0" quotePrefix="0" xfId="1">
      <alignment horizontal="center" vertical="center"/>
    </xf>
    <xf numFmtId="38" fontId="24" fillId="4" borderId="28" applyAlignment="1" pivotButton="0" quotePrefix="0" xfId="3">
      <alignment horizontal="center" vertical="center"/>
    </xf>
    <xf numFmtId="38" fontId="27" fillId="0" borderId="4" applyAlignment="1" pivotButton="0" quotePrefix="0" xfId="3">
      <alignment vertical="center"/>
    </xf>
    <xf numFmtId="38" fontId="27" fillId="0" borderId="25" applyAlignment="1" pivotButton="0" quotePrefix="0" xfId="3">
      <alignment horizontal="center" vertical="center"/>
    </xf>
    <xf numFmtId="38" fontId="27" fillId="0" borderId="23" applyAlignment="1" pivotButton="0" quotePrefix="0" xfId="3">
      <alignment horizontal="center" vertical="center"/>
    </xf>
    <xf numFmtId="38" fontId="27" fillId="0" borderId="21" applyAlignment="1" pivotButton="0" quotePrefix="0" xfId="3">
      <alignment horizontal="center" vertical="center"/>
    </xf>
    <xf numFmtId="38" fontId="27" fillId="0" borderId="22" applyAlignment="1" pivotButton="0" quotePrefix="0" xfId="3">
      <alignment horizontal="center" vertical="center"/>
    </xf>
    <xf numFmtId="38" fontId="28" fillId="0" borderId="0" applyAlignment="1" pivotButton="0" quotePrefix="0" xfId="3">
      <alignment vertical="center"/>
    </xf>
    <xf numFmtId="38" fontId="21" fillId="2" borderId="6" applyAlignment="1" pivotButton="0" quotePrefix="0" xfId="3">
      <alignment horizontal="center" vertical="center"/>
    </xf>
    <xf numFmtId="38" fontId="21" fillId="2" borderId="7" applyAlignment="1" pivotButton="0" quotePrefix="0" xfId="3">
      <alignment horizontal="center" vertical="center"/>
    </xf>
    <xf numFmtId="38" fontId="21" fillId="2" borderId="8" applyAlignment="1" pivotButton="0" quotePrefix="0" xfId="3">
      <alignment horizontal="center" vertical="center"/>
    </xf>
    <xf numFmtId="38" fontId="21" fillId="2" borderId="9" applyAlignment="1" pivotButton="0" quotePrefix="0" xfId="3">
      <alignment horizontal="center" vertical="center"/>
    </xf>
    <xf numFmtId="38" fontId="21" fillId="2" borderId="10" applyAlignment="1" pivotButton="0" quotePrefix="0" xfId="3">
      <alignment horizontal="center" vertical="center"/>
    </xf>
    <xf numFmtId="164" fontId="27" fillId="10" borderId="11" applyAlignment="1" pivotButton="0" quotePrefix="0" xfId="2">
      <alignment vertical="center"/>
    </xf>
    <xf numFmtId="38" fontId="27" fillId="10" borderId="64" applyAlignment="1" applyProtection="1" pivotButton="0" quotePrefix="0" xfId="2">
      <alignment vertical="center"/>
      <protection locked="0" hidden="0"/>
    </xf>
    <xf numFmtId="164" fontId="27" fillId="10" borderId="65" applyAlignment="1" applyProtection="1" pivotButton="0" quotePrefix="0" xfId="2">
      <alignment vertical="center"/>
      <protection locked="0" hidden="0"/>
    </xf>
    <xf numFmtId="164" fontId="27" fillId="10" borderId="0" applyAlignment="1" pivotButton="0" quotePrefix="0" xfId="2">
      <alignment vertical="center"/>
    </xf>
    <xf numFmtId="164" fontId="27" fillId="10" borderId="12" applyAlignment="1" pivotButton="0" quotePrefix="0" xfId="2">
      <alignment horizontal="right" vertical="center"/>
    </xf>
    <xf numFmtId="164" fontId="27" fillId="10" borderId="63" applyAlignment="1" pivotButton="0" quotePrefix="0" xfId="2">
      <alignment vertical="center"/>
    </xf>
    <xf numFmtId="38" fontId="27" fillId="0" borderId="18" applyAlignment="1" pivotButton="0" quotePrefix="0" xfId="2">
      <alignment horizontal="left" vertical="center"/>
    </xf>
    <xf numFmtId="164" fontId="27" fillId="10" borderId="67" applyAlignment="1" applyProtection="1" pivotButton="0" quotePrefix="0" xfId="2">
      <alignment vertical="center"/>
      <protection locked="0" hidden="0"/>
    </xf>
    <xf numFmtId="38" fontId="27" fillId="0" borderId="5" applyAlignment="1" pivotButton="0" quotePrefix="0" xfId="2">
      <alignment horizontal="left" vertical="center"/>
    </xf>
    <xf numFmtId="164" fontId="29" fillId="10" borderId="98" applyAlignment="1" pivotButton="0" quotePrefix="0" xfId="3">
      <alignment horizontal="left" vertical="center"/>
    </xf>
    <xf numFmtId="164" fontId="27" fillId="10" borderId="13" applyAlignment="1" pivotButton="0" quotePrefix="0" xfId="2">
      <alignment vertical="center"/>
    </xf>
    <xf numFmtId="164" fontId="27" fillId="10" borderId="69" applyAlignment="1" applyProtection="1" pivotButton="0" quotePrefix="0" xfId="2">
      <alignment vertical="center"/>
      <protection locked="0" hidden="0"/>
    </xf>
    <xf numFmtId="164" fontId="27" fillId="10" borderId="12" applyAlignment="1" pivotButton="0" quotePrefix="0" xfId="2">
      <alignment horizontal="right" vertical="center" wrapText="1"/>
    </xf>
    <xf numFmtId="164" fontId="27" fillId="10" borderId="14" applyAlignment="1" pivotButton="0" quotePrefix="0" xfId="2">
      <alignment horizontal="center" vertical="center"/>
    </xf>
    <xf numFmtId="164" fontId="27" fillId="10" borderId="71" applyAlignment="1" pivotButton="0" quotePrefix="0" xfId="2">
      <alignment vertical="center"/>
    </xf>
    <xf numFmtId="164" fontId="27" fillId="10" borderId="15" applyAlignment="1" pivotButton="0" quotePrefix="0" xfId="2">
      <alignment horizontal="center" vertical="center"/>
    </xf>
    <xf numFmtId="164" fontId="27" fillId="10" borderId="70" applyAlignment="1" pivotButton="0" quotePrefix="0" xfId="2">
      <alignment vertical="center"/>
    </xf>
    <xf numFmtId="38" fontId="27" fillId="0" borderId="0" applyAlignment="1" pivotButton="0" quotePrefix="0" xfId="2">
      <alignment horizontal="center" vertical="center"/>
    </xf>
    <xf numFmtId="38" fontId="28" fillId="0" borderId="0" applyAlignment="1" pivotButton="0" quotePrefix="0" xfId="2">
      <alignment vertical="center"/>
    </xf>
    <xf numFmtId="38" fontId="21" fillId="2" borderId="9" applyAlignment="1" pivotButton="0" quotePrefix="0" xfId="2">
      <alignment horizontal="center" vertical="center"/>
    </xf>
    <xf numFmtId="38" fontId="21" fillId="2" borderId="16" applyAlignment="1" pivotButton="0" quotePrefix="0" xfId="2">
      <alignment horizontal="center" vertical="center"/>
    </xf>
    <xf numFmtId="38" fontId="21" fillId="2" borderId="10" applyAlignment="1" pivotButton="0" quotePrefix="0" xfId="2">
      <alignment horizontal="center" vertical="center"/>
    </xf>
    <xf numFmtId="38" fontId="27" fillId="0" borderId="19" applyAlignment="1" pivotButton="0" quotePrefix="0" xfId="2">
      <alignment horizontal="left" vertical="center"/>
    </xf>
    <xf numFmtId="164" fontId="30" fillId="10" borderId="62" applyAlignment="1" applyProtection="1" pivotButton="0" quotePrefix="0" xfId="2">
      <alignment vertical="center"/>
      <protection locked="0" hidden="0"/>
    </xf>
    <xf numFmtId="38" fontId="27" fillId="0" borderId="12" applyAlignment="1" pivotButton="0" quotePrefix="0" xfId="2">
      <alignment vertical="center"/>
    </xf>
    <xf numFmtId="38" fontId="27" fillId="0" borderId="63" applyAlignment="1" applyProtection="1" pivotButton="0" quotePrefix="1" xfId="2">
      <alignment vertical="center"/>
      <protection locked="0" hidden="0"/>
    </xf>
    <xf numFmtId="38" fontId="27" fillId="0" borderId="115" applyAlignment="1" applyProtection="1" pivotButton="0" quotePrefix="1" xfId="0">
      <alignment vertical="center"/>
      <protection locked="0" hidden="0"/>
    </xf>
    <xf numFmtId="38" fontId="27" fillId="0" borderId="5" applyAlignment="1" pivotButton="0" quotePrefix="0" xfId="2">
      <alignment vertical="center"/>
    </xf>
    <xf numFmtId="164" fontId="19" fillId="10" borderId="75" applyAlignment="1" applyProtection="1" pivotButton="0" quotePrefix="0" xfId="2">
      <alignment vertical="center"/>
      <protection locked="0" hidden="0"/>
    </xf>
    <xf numFmtId="164" fontId="30" fillId="10" borderId="75" applyAlignment="1" applyProtection="1" pivotButton="0" quotePrefix="0" xfId="2">
      <alignment vertical="center"/>
      <protection locked="0" hidden="0"/>
    </xf>
    <xf numFmtId="38" fontId="29" fillId="0" borderId="12" applyAlignment="1" pivotButton="0" quotePrefix="0" xfId="2">
      <alignment vertical="center"/>
    </xf>
    <xf numFmtId="38" fontId="27" fillId="0" borderId="17" applyAlignment="1" pivotButton="0" quotePrefix="0" xfId="2">
      <alignment horizontal="right" vertical="center"/>
    </xf>
    <xf numFmtId="164" fontId="19" fillId="10" borderId="83" applyAlignment="1" applyProtection="1" pivotButton="0" quotePrefix="0" xfId="2">
      <alignment vertical="center"/>
      <protection locked="0" hidden="0"/>
    </xf>
    <xf numFmtId="164" fontId="30" fillId="10" borderId="83" applyAlignment="1" applyProtection="1" pivotButton="0" quotePrefix="0" xfId="2">
      <alignment vertical="center"/>
      <protection locked="0" hidden="0"/>
    </xf>
    <xf numFmtId="38" fontId="31" fillId="0" borderId="0" applyAlignment="1" pivotButton="0" quotePrefix="0" xfId="2">
      <alignment horizontal="center" vertical="center"/>
    </xf>
    <xf numFmtId="38" fontId="27" fillId="0" borderId="63" applyAlignment="1" applyProtection="1" pivotButton="0" quotePrefix="0" xfId="2">
      <alignment vertical="center"/>
      <protection locked="0" hidden="0"/>
    </xf>
    <xf numFmtId="38" fontId="27" fillId="9" borderId="18" applyAlignment="1" pivotButton="0" quotePrefix="0" xfId="2">
      <alignment vertical="center"/>
    </xf>
    <xf numFmtId="169" fontId="27" fillId="0" borderId="0" applyAlignment="1" pivotButton="0" quotePrefix="0" xfId="2">
      <alignment vertical="center"/>
    </xf>
    <xf numFmtId="38" fontId="27" fillId="9" borderId="19" applyAlignment="1" pivotButton="0" quotePrefix="0" xfId="3">
      <alignment vertical="center"/>
    </xf>
    <xf numFmtId="38" fontId="27" fillId="0" borderId="12" applyAlignment="1" applyProtection="1" pivotButton="0" quotePrefix="0" xfId="2">
      <alignment vertical="center"/>
      <protection locked="0" hidden="0"/>
    </xf>
    <xf numFmtId="164" fontId="19" fillId="10" borderId="62" applyAlignment="1" applyProtection="1" pivotButton="0" quotePrefix="0" xfId="2">
      <alignment vertical="center"/>
      <protection locked="0" hidden="0"/>
    </xf>
    <xf numFmtId="38" fontId="27" fillId="0" borderId="18" applyAlignment="1" pivotButton="0" quotePrefix="0" xfId="2">
      <alignment vertical="center"/>
    </xf>
    <xf numFmtId="38" fontId="27" fillId="0" borderId="19" applyAlignment="1" pivotButton="0" quotePrefix="0" xfId="3">
      <alignment vertical="center"/>
    </xf>
    <xf numFmtId="38" fontId="27" fillId="0" borderId="19" applyAlignment="1" pivotButton="0" quotePrefix="0" xfId="2">
      <alignment vertical="center"/>
    </xf>
    <xf numFmtId="38" fontId="27" fillId="0" borderId="72" applyAlignment="1" applyProtection="1" pivotButton="0" quotePrefix="0" xfId="2">
      <alignment vertical="center"/>
      <protection locked="0" hidden="0"/>
    </xf>
    <xf numFmtId="164" fontId="19" fillId="10" borderId="12" applyAlignment="1" applyProtection="1" pivotButton="0" quotePrefix="0" xfId="2">
      <alignment vertical="center"/>
      <protection locked="0" hidden="0"/>
    </xf>
    <xf numFmtId="164" fontId="25" fillId="10" borderId="62" applyAlignment="1" applyProtection="1" pivotButton="0" quotePrefix="0" xfId="1">
      <alignment vertical="center"/>
      <protection locked="0" hidden="0"/>
    </xf>
    <xf numFmtId="38" fontId="27" fillId="3" borderId="15" applyAlignment="1" pivotButton="0" quotePrefix="0" xfId="2">
      <alignment horizontal="center" vertical="center"/>
    </xf>
    <xf numFmtId="38" fontId="27" fillId="3" borderId="85" applyAlignment="1" pivotButton="0" quotePrefix="0" xfId="2">
      <alignment vertical="center"/>
    </xf>
    <xf numFmtId="164" fontId="30" fillId="10" borderId="88" applyAlignment="1" applyProtection="1" pivotButton="0" quotePrefix="0" xfId="2">
      <alignment vertical="center"/>
      <protection locked="0" hidden="0"/>
    </xf>
    <xf numFmtId="38" fontId="27" fillId="0" borderId="5" applyAlignment="1" pivotButton="0" quotePrefix="0" xfId="2">
      <alignment horizontal="right" vertical="center"/>
    </xf>
    <xf numFmtId="38" fontId="27" fillId="0" borderId="20" applyAlignment="1" pivotButton="0" quotePrefix="0" xfId="2">
      <alignment horizontal="right" vertical="center"/>
    </xf>
    <xf numFmtId="40" fontId="27" fillId="0" borderId="0" applyAlignment="1" pivotButton="0" quotePrefix="0" xfId="2">
      <alignment vertical="center"/>
    </xf>
    <xf numFmtId="40" fontId="9" fillId="0" borderId="0" applyAlignment="1" pivotButton="0" quotePrefix="0" xfId="2">
      <alignment vertical="center"/>
    </xf>
    <xf numFmtId="40" fontId="9" fillId="0" borderId="0" applyAlignment="1" pivotButton="0" quotePrefix="0" xfId="0">
      <alignment vertical="center"/>
    </xf>
    <xf numFmtId="170" fontId="27" fillId="0" borderId="0" applyAlignment="1" pivotButton="0" quotePrefix="0" xfId="2">
      <alignment vertical="center"/>
    </xf>
    <xf numFmtId="38" fontId="29" fillId="0" borderId="0" applyAlignment="1" pivotButton="0" quotePrefix="0" xfId="3">
      <alignment vertical="center"/>
    </xf>
    <xf numFmtId="38" fontId="27" fillId="10" borderId="70" applyAlignment="1" pivotButton="0" quotePrefix="0" xfId="2">
      <alignment vertical="center"/>
    </xf>
    <xf numFmtId="38" fontId="9" fillId="0" borderId="0" applyAlignment="1" pivotButton="0" quotePrefix="0" xfId="2">
      <alignment vertical="center"/>
    </xf>
    <xf numFmtId="38" fontId="27" fillId="0" borderId="0" applyAlignment="1" pivotButton="0" quotePrefix="0" xfId="2">
      <alignment horizontal="left" vertical="top"/>
    </xf>
    <xf numFmtId="38" fontId="27" fillId="10" borderId="66" applyAlignment="1" applyProtection="1" pivotButton="0" quotePrefix="0" xfId="2">
      <alignment vertical="center"/>
      <protection locked="0" hidden="0"/>
    </xf>
    <xf numFmtId="164" fontId="27" fillId="10" borderId="68" applyAlignment="1" applyProtection="1" pivotButton="0" quotePrefix="0" xfId="2">
      <alignment vertical="center"/>
      <protection locked="0" hidden="0"/>
    </xf>
    <xf numFmtId="38" fontId="27" fillId="0" borderId="0" applyAlignment="1" pivotButton="0" quotePrefix="0" xfId="2">
      <alignment vertical="center"/>
    </xf>
    <xf numFmtId="40" fontId="27" fillId="10" borderId="64" applyAlignment="1" applyProtection="1" pivotButton="0" quotePrefix="0" xfId="2">
      <alignment vertical="center"/>
      <protection locked="0" hidden="0"/>
    </xf>
    <xf numFmtId="40" fontId="27" fillId="10" borderId="66" applyAlignment="1" applyProtection="1" pivotButton="0" quotePrefix="0" xfId="2">
      <alignment vertical="center"/>
      <protection locked="0" hidden="0"/>
    </xf>
    <xf numFmtId="40" fontId="27" fillId="10" borderId="68" applyAlignment="1" applyProtection="1" pivotButton="0" quotePrefix="0" xfId="2">
      <alignment vertical="center"/>
      <protection locked="0" hidden="0"/>
    </xf>
    <xf numFmtId="40" fontId="27" fillId="10" borderId="70" applyAlignment="1" pivotButton="0" quotePrefix="0" xfId="2">
      <alignment vertical="center"/>
    </xf>
    <xf numFmtId="38" fontId="27" fillId="10" borderId="68" applyAlignment="1" applyProtection="1" pivotButton="0" quotePrefix="0" xfId="2">
      <alignment vertical="center"/>
      <protection locked="0" hidden="0"/>
    </xf>
    <xf numFmtId="38" fontId="27" fillId="0" borderId="0" applyAlignment="1" pivotButton="0" quotePrefix="0" xfId="3">
      <alignment vertical="center"/>
    </xf>
    <xf numFmtId="171" fontId="9" fillId="0" borderId="0" applyAlignment="1" pivotButton="0" quotePrefix="0" xfId="2">
      <alignment vertical="center"/>
    </xf>
    <xf numFmtId="0" fontId="33" fillId="0" borderId="0" pivotButton="0" quotePrefix="0" xfId="4"/>
    <xf numFmtId="172" fontId="33" fillId="0" borderId="0" pivotButton="0" quotePrefix="0" xfId="5"/>
    <xf numFmtId="0" fontId="34" fillId="0" borderId="0" pivotButton="0" quotePrefix="0" xfId="4"/>
    <xf numFmtId="172" fontId="34" fillId="0" borderId="0" pivotButton="0" quotePrefix="0" xfId="5"/>
    <xf numFmtId="171" fontId="34" fillId="0" borderId="0" pivotButton="0" quotePrefix="0" xfId="4"/>
    <xf numFmtId="9" fontId="33" fillId="0" borderId="0" pivotButton="0" quotePrefix="0" xfId="4"/>
    <xf numFmtId="164" fontId="27" fillId="10" borderId="64" applyAlignment="1" applyProtection="1" pivotButton="0" quotePrefix="0" xfId="2">
      <alignment vertical="center"/>
      <protection locked="0" hidden="0"/>
    </xf>
    <xf numFmtId="164" fontId="27" fillId="10" borderId="66" applyAlignment="1" applyProtection="1" pivotButton="0" quotePrefix="0" xfId="2">
      <alignment vertical="center"/>
      <protection locked="0" hidden="0"/>
    </xf>
    <xf numFmtId="164" fontId="27" fillId="10" borderId="67" applyAlignment="1" applyProtection="1" pivotButton="0" quotePrefix="1" xfId="2">
      <alignment vertical="center"/>
      <protection locked="0" hidden="0"/>
    </xf>
    <xf numFmtId="40" fontId="35" fillId="9" borderId="0" applyAlignment="1" pivotButton="0" quotePrefix="0" xfId="0">
      <alignment vertical="center"/>
    </xf>
    <xf numFmtId="173" fontId="9" fillId="0" borderId="0" applyAlignment="1" pivotButton="0" quotePrefix="0" xfId="0">
      <alignment vertical="center"/>
    </xf>
    <xf numFmtId="14" fontId="9" fillId="0" borderId="0" applyAlignment="1" pivotButton="0" quotePrefix="0" xfId="0">
      <alignment vertical="center"/>
    </xf>
    <xf numFmtId="38" fontId="21" fillId="0" borderId="0" applyAlignment="1" pivotButton="0" quotePrefix="0" xfId="3">
      <alignment horizontal="left" vertical="center"/>
    </xf>
    <xf numFmtId="38" fontId="22" fillId="0" borderId="0" applyAlignment="1" pivotButton="0" quotePrefix="0" xfId="3">
      <alignment horizontal="left" vertical="center"/>
    </xf>
    <xf numFmtId="0" fontId="22" fillId="5" borderId="0" applyAlignment="1" applyProtection="1" pivotButton="0" quotePrefix="0" xfId="3">
      <alignment horizontal="left" vertical="center"/>
      <protection locked="0" hidden="0"/>
    </xf>
    <xf numFmtId="0" fontId="22" fillId="0" borderId="0" applyAlignment="1" pivotButton="0" quotePrefix="0" xfId="3">
      <alignment horizontal="left" vertical="center"/>
    </xf>
    <xf numFmtId="38" fontId="23" fillId="2" borderId="26" applyAlignment="1" pivotButton="0" quotePrefix="0" xfId="3">
      <alignment horizontal="left" vertical="center"/>
    </xf>
    <xf numFmtId="0" fontId="22" fillId="0" borderId="0" applyAlignment="1" applyProtection="1" pivotButton="0" quotePrefix="0" xfId="3">
      <alignment horizontal="left" vertical="center"/>
      <protection locked="0" hidden="0"/>
    </xf>
    <xf numFmtId="38" fontId="24" fillId="4" borderId="27" applyAlignment="1" pivotButton="0" quotePrefix="0" xfId="3">
      <alignment horizontal="left" vertical="center"/>
    </xf>
    <xf numFmtId="38" fontId="25" fillId="7" borderId="42" applyAlignment="1" pivotButton="0" quotePrefix="0" xfId="1">
      <alignment horizontal="left" vertical="center"/>
    </xf>
    <xf numFmtId="38" fontId="24" fillId="4" borderId="28" applyAlignment="1" pivotButton="0" quotePrefix="0" xfId="3">
      <alignment horizontal="left" vertical="center"/>
    </xf>
    <xf numFmtId="38" fontId="27" fillId="0" borderId="4" applyAlignment="1" pivotButton="0" quotePrefix="0" xfId="3">
      <alignment horizontal="left" vertical="center"/>
    </xf>
    <xf numFmtId="38" fontId="28" fillId="0" borderId="0" applyAlignment="1" pivotButton="0" quotePrefix="0" xfId="3">
      <alignment horizontal="left" vertical="center"/>
    </xf>
    <xf numFmtId="38" fontId="21" fillId="2" borderId="7" applyAlignment="1" pivotButton="0" quotePrefix="0" xfId="3">
      <alignment horizontal="left" vertical="center"/>
    </xf>
    <xf numFmtId="38" fontId="21" fillId="2" borderId="8" applyAlignment="1" pivotButton="0" quotePrefix="0" xfId="3">
      <alignment horizontal="left" vertical="center"/>
    </xf>
    <xf numFmtId="38" fontId="21" fillId="2" borderId="9" applyAlignment="1" pivotButton="0" quotePrefix="0" xfId="3">
      <alignment horizontal="left" vertical="center"/>
    </xf>
    <xf numFmtId="38" fontId="21" fillId="2" borderId="10" applyAlignment="1" pivotButton="0" quotePrefix="0" xfId="3">
      <alignment horizontal="left" vertical="center"/>
    </xf>
    <xf numFmtId="40" fontId="27" fillId="10" borderId="66" applyAlignment="1" applyProtection="1" pivotButton="0" quotePrefix="0" xfId="2">
      <alignment horizontal="left" vertical="center"/>
      <protection locked="0" hidden="0"/>
    </xf>
    <xf numFmtId="164" fontId="27" fillId="10" borderId="65" applyAlignment="1" applyProtection="1" pivotButton="0" quotePrefix="0" xfId="2">
      <alignment horizontal="left" vertical="center"/>
      <protection locked="0" hidden="0"/>
    </xf>
    <xf numFmtId="164" fontId="27" fillId="10" borderId="0" applyAlignment="1" pivotButton="0" quotePrefix="0" xfId="2">
      <alignment horizontal="left" vertical="center"/>
    </xf>
    <xf numFmtId="164" fontId="27" fillId="10" borderId="12" applyAlignment="1" pivotButton="0" quotePrefix="0" xfId="2">
      <alignment horizontal="left" vertical="center"/>
    </xf>
    <xf numFmtId="164" fontId="27" fillId="10" borderId="63" applyAlignment="1" pivotButton="0" quotePrefix="0" xfId="2">
      <alignment horizontal="left" vertical="center"/>
    </xf>
    <xf numFmtId="38" fontId="27" fillId="0" borderId="0" applyAlignment="1" pivotButton="0" quotePrefix="0" xfId="2">
      <alignment horizontal="left" vertical="center"/>
    </xf>
    <xf numFmtId="164" fontId="27" fillId="10" borderId="67" applyAlignment="1" applyProtection="1" pivotButton="0" quotePrefix="0" xfId="2">
      <alignment horizontal="left" vertical="center"/>
      <protection locked="0" hidden="0"/>
    </xf>
    <xf numFmtId="164" fontId="29" fillId="10" borderId="13" applyAlignment="1" pivotButton="0" quotePrefix="0" xfId="2">
      <alignment vertical="center"/>
    </xf>
    <xf numFmtId="40" fontId="27" fillId="10" borderId="68" applyAlignment="1" applyProtection="1" pivotButton="0" quotePrefix="0" xfId="2">
      <alignment horizontal="left" vertical="center"/>
      <protection locked="0" hidden="0"/>
    </xf>
    <xf numFmtId="164" fontId="27" fillId="10" borderId="69" applyAlignment="1" applyProtection="1" pivotButton="0" quotePrefix="0" xfId="2">
      <alignment horizontal="left" vertical="center"/>
      <protection locked="0" hidden="0"/>
    </xf>
    <xf numFmtId="164" fontId="27" fillId="10" borderId="12" applyAlignment="1" pivotButton="0" quotePrefix="0" xfId="2">
      <alignment horizontal="left" vertical="center" wrapText="1"/>
    </xf>
    <xf numFmtId="40" fontId="27" fillId="10" borderId="70" applyAlignment="1" pivotButton="0" quotePrefix="0" xfId="2">
      <alignment horizontal="left" vertical="center"/>
    </xf>
    <xf numFmtId="164" fontId="27" fillId="10" borderId="71" applyAlignment="1" pivotButton="0" quotePrefix="0" xfId="2">
      <alignment horizontal="left" vertical="center"/>
    </xf>
    <xf numFmtId="164" fontId="27" fillId="10" borderId="15" applyAlignment="1" pivotButton="0" quotePrefix="0" xfId="2">
      <alignment horizontal="left" vertical="center"/>
    </xf>
    <xf numFmtId="164" fontId="27" fillId="10" borderId="70" applyAlignment="1" pivotButton="0" quotePrefix="0" xfId="2">
      <alignment horizontal="left" vertical="center"/>
    </xf>
    <xf numFmtId="38" fontId="21" fillId="2" borderId="16" applyAlignment="1" pivotButton="0" quotePrefix="0" xfId="2">
      <alignment horizontal="left" vertical="center"/>
    </xf>
    <xf numFmtId="38" fontId="21" fillId="2" borderId="10" applyAlignment="1" pivotButton="0" quotePrefix="0" xfId="2">
      <alignment horizontal="left" vertical="center"/>
    </xf>
    <xf numFmtId="38" fontId="28" fillId="0" borderId="0" applyAlignment="1" pivotButton="0" quotePrefix="0" xfId="2">
      <alignment horizontal="left" vertical="center"/>
    </xf>
    <xf numFmtId="38" fontId="27" fillId="0" borderId="17" applyAlignment="1" pivotButton="0" quotePrefix="0" xfId="2">
      <alignment horizontal="left" vertical="center"/>
    </xf>
    <xf numFmtId="38" fontId="31" fillId="0" borderId="0" applyAlignment="1" pivotButton="0" quotePrefix="0" xfId="2">
      <alignment horizontal="left" vertical="center"/>
    </xf>
    <xf numFmtId="38" fontId="27" fillId="9" borderId="18" applyAlignment="1" pivotButton="0" quotePrefix="0" xfId="2">
      <alignment horizontal="left" vertical="center"/>
    </xf>
    <xf numFmtId="38" fontId="27" fillId="9" borderId="19" applyAlignment="1" pivotButton="0" quotePrefix="0" xfId="3">
      <alignment horizontal="left" vertical="center"/>
    </xf>
    <xf numFmtId="38" fontId="27" fillId="0" borderId="63" applyAlignment="1" applyProtection="1" pivotButton="0" quotePrefix="0" xfId="2">
      <alignment horizontal="left" vertical="center"/>
      <protection locked="0" hidden="0"/>
    </xf>
    <xf numFmtId="38" fontId="27" fillId="0" borderId="19" applyAlignment="1" pivotButton="0" quotePrefix="0" xfId="3">
      <alignment horizontal="left" vertical="center"/>
    </xf>
    <xf numFmtId="38" fontId="27" fillId="0" borderId="72" applyAlignment="1" applyProtection="1" pivotButton="0" quotePrefix="0" xfId="2">
      <alignment horizontal="left" vertical="center"/>
      <protection locked="0" hidden="0"/>
    </xf>
    <xf numFmtId="38" fontId="27" fillId="3" borderId="85" applyAlignment="1" pivotButton="0" quotePrefix="0" xfId="2">
      <alignment horizontal="left" vertical="center"/>
    </xf>
    <xf numFmtId="38" fontId="36" fillId="0" borderId="0" applyAlignment="1" pivotButton="0" quotePrefix="0" xfId="3">
      <alignment horizontal="left" vertical="center"/>
    </xf>
    <xf numFmtId="38" fontId="27" fillId="0" borderId="0" applyAlignment="1" pivotButton="0" quotePrefix="0" xfId="3">
      <alignment horizontal="left" vertical="center"/>
    </xf>
    <xf numFmtId="38" fontId="27" fillId="0" borderId="20" applyAlignment="1" pivotButton="0" quotePrefix="0" xfId="2">
      <alignment horizontal="left" vertical="center"/>
    </xf>
    <xf numFmtId="0" fontId="9" fillId="0" borderId="0" applyAlignment="1" pivotButton="0" quotePrefix="0" xfId="0">
      <alignment horizontal="left" vertical="center"/>
    </xf>
    <xf numFmtId="38" fontId="36" fillId="0" borderId="0" applyAlignment="1" pivotButton="0" quotePrefix="1" xfId="3">
      <alignment vertical="center"/>
    </xf>
    <xf numFmtId="38" fontId="36" fillId="0" borderId="0" applyAlignment="1" pivotButton="0" quotePrefix="0" xfId="2">
      <alignment vertical="center"/>
    </xf>
    <xf numFmtId="170" fontId="36" fillId="0" borderId="0" applyAlignment="1" pivotButton="0" quotePrefix="0" xfId="2">
      <alignment vertical="center"/>
    </xf>
    <xf numFmtId="38" fontId="36" fillId="0" borderId="0" applyAlignment="1" pivotButton="0" quotePrefix="0" xfId="3">
      <alignment vertical="center"/>
    </xf>
    <xf numFmtId="164" fontId="27" fillId="10" borderId="65" applyAlignment="1" applyProtection="1" pivotButton="0" quotePrefix="1" xfId="2">
      <alignment vertical="center"/>
      <protection locked="0" hidden="0"/>
    </xf>
    <xf numFmtId="164" fontId="29" fillId="10" borderId="11" applyAlignment="1" pivotButton="0" quotePrefix="0" xfId="2">
      <alignment vertical="center"/>
    </xf>
    <xf numFmtId="40" fontId="37" fillId="9" borderId="0" applyAlignment="1" pivotButton="0" quotePrefix="0" xfId="0">
      <alignment vertical="center"/>
    </xf>
    <xf numFmtId="0" fontId="29" fillId="0" borderId="0" applyAlignment="1" pivotButton="0" quotePrefix="0" xfId="0">
      <alignment vertical="center"/>
    </xf>
    <xf numFmtId="0" fontId="33" fillId="0" borderId="0" pivotButton="0" quotePrefix="0" xfId="0"/>
    <xf numFmtId="171" fontId="9" fillId="0" borderId="0" pivotButton="0" quotePrefix="0" xfId="0"/>
    <xf numFmtId="172" fontId="9" fillId="0" borderId="0" pivotButton="0" quotePrefix="0" xfId="5"/>
    <xf numFmtId="0" fontId="9" fillId="0" borderId="0" pivotButton="0" quotePrefix="1" xfId="0"/>
    <xf numFmtId="9" fontId="33" fillId="0" borderId="0" pivotButton="0" quotePrefix="0" xfId="0"/>
    <xf numFmtId="167" fontId="27" fillId="0" borderId="0" applyAlignment="1" pivotButton="0" quotePrefix="0" xfId="2">
      <alignment vertical="center"/>
    </xf>
    <xf numFmtId="0" fontId="40" fillId="6" borderId="29" applyAlignment="1" pivotButton="0" quotePrefix="0" xfId="0">
      <alignment horizontal="center" vertical="center"/>
    </xf>
    <xf numFmtId="0" fontId="40" fillId="6" borderId="30" applyAlignment="1" pivotButton="0" quotePrefix="0" xfId="0">
      <alignment horizontal="center" vertical="center"/>
    </xf>
    <xf numFmtId="174" fontId="41" fillId="0" borderId="31" applyAlignment="1" pivotButton="0" quotePrefix="0" xfId="0">
      <alignment horizontal="center" vertical="center"/>
    </xf>
    <xf numFmtId="0" fontId="41" fillId="0" borderId="32" applyAlignment="1" pivotButton="0" quotePrefix="0" xfId="0">
      <alignment horizontal="center" vertical="center"/>
    </xf>
    <xf numFmtId="174" fontId="42" fillId="0" borderId="31" applyAlignment="1" pivotButton="0" quotePrefix="0" xfId="0">
      <alignment horizontal="center" vertical="center"/>
    </xf>
    <xf numFmtId="0" fontId="42" fillId="0" borderId="32" applyAlignment="1" pivotButton="0" quotePrefix="0" xfId="0">
      <alignment horizontal="center" vertical="center"/>
    </xf>
    <xf numFmtId="174" fontId="41" fillId="0" borderId="33" applyAlignment="1" pivotButton="0" quotePrefix="0" xfId="0">
      <alignment horizontal="center" vertical="center"/>
    </xf>
    <xf numFmtId="0" fontId="41" fillId="0" borderId="34" applyAlignment="1" pivotButton="0" quotePrefix="0" xfId="0">
      <alignment horizontal="center" vertical="center"/>
    </xf>
    <xf numFmtId="174" fontId="42" fillId="0" borderId="33" applyAlignment="1" pivotButton="0" quotePrefix="0" xfId="0">
      <alignment horizontal="center" vertical="center"/>
    </xf>
    <xf numFmtId="0" fontId="42" fillId="0" borderId="34" applyAlignment="1" pivotButton="0" quotePrefix="0" xfId="0">
      <alignment horizontal="center" vertical="center"/>
    </xf>
    <xf numFmtId="0" fontId="43" fillId="0" borderId="34" applyAlignment="1" pivotButton="0" quotePrefix="0" xfId="0">
      <alignment horizontal="center" vertical="center"/>
    </xf>
    <xf numFmtId="174" fontId="41" fillId="0" borderId="51" applyAlignment="1" pivotButton="0" quotePrefix="0" xfId="0">
      <alignment horizontal="center" vertical="center"/>
    </xf>
    <xf numFmtId="0" fontId="41" fillId="0" borderId="52" applyAlignment="1" pivotButton="0" quotePrefix="0" xfId="0">
      <alignment horizontal="center" vertical="center"/>
    </xf>
    <xf numFmtId="174" fontId="42" fillId="0" borderId="51" applyAlignment="1" pivotButton="0" quotePrefix="0" xfId="0">
      <alignment horizontal="center" vertical="center"/>
    </xf>
    <xf numFmtId="0" fontId="42" fillId="0" borderId="52" applyAlignment="1" pivotButton="0" quotePrefix="0" xfId="0">
      <alignment horizontal="center" vertical="center"/>
    </xf>
    <xf numFmtId="0" fontId="17" fillId="2" borderId="47" applyAlignment="1" pivotButton="0" quotePrefix="0" xfId="0">
      <alignment horizontal="center" vertical="center"/>
    </xf>
    <xf numFmtId="38" fontId="13" fillId="0" borderId="45" applyAlignment="1" pivotButton="0" quotePrefix="0" xfId="0">
      <alignment vertical="center"/>
    </xf>
    <xf numFmtId="38" fontId="13" fillId="0" borderId="43" applyAlignment="1" pivotButton="0" quotePrefix="0" xfId="0">
      <alignment vertical="center"/>
    </xf>
    <xf numFmtId="38" fontId="13" fillId="0" borderId="44" applyAlignment="1" pivotButton="0" quotePrefix="0" xfId="0">
      <alignment vertical="center"/>
    </xf>
    <xf numFmtId="40" fontId="13" fillId="0" borderId="0" applyAlignment="1" pivotButton="0" quotePrefix="0" xfId="0">
      <alignment vertical="center"/>
    </xf>
    <xf numFmtId="0" fontId="17" fillId="2" borderId="29" applyAlignment="1" pivotButton="0" quotePrefix="0" xfId="0">
      <alignment horizontal="center" vertical="center"/>
    </xf>
    <xf numFmtId="0" fontId="17" fillId="2" borderId="100" applyAlignment="1" pivotButton="0" quotePrefix="0" xfId="0">
      <alignment horizontal="center" vertical="center"/>
    </xf>
    <xf numFmtId="38" fontId="13" fillId="10" borderId="31" applyAlignment="1" pivotButton="0" quotePrefix="0" xfId="0">
      <alignment vertical="center"/>
    </xf>
    <xf numFmtId="38" fontId="13" fillId="10" borderId="41" applyAlignment="1" pivotButton="0" quotePrefix="0" xfId="0">
      <alignment vertical="center"/>
    </xf>
    <xf numFmtId="38" fontId="13" fillId="10" borderId="32" applyAlignment="1" pivotButton="0" quotePrefix="0" xfId="0">
      <alignment vertical="center"/>
    </xf>
    <xf numFmtId="38" fontId="13" fillId="0" borderId="40" applyAlignment="1" pivotButton="0" quotePrefix="0" xfId="0">
      <alignment vertical="center"/>
    </xf>
    <xf numFmtId="38" fontId="13" fillId="0" borderId="37" applyAlignment="1" pivotButton="0" quotePrefix="0" xfId="0">
      <alignment vertical="center"/>
    </xf>
    <xf numFmtId="38" fontId="13" fillId="10" borderId="33" applyAlignment="1" pivotButton="0" quotePrefix="0" xfId="0">
      <alignment vertical="center"/>
    </xf>
    <xf numFmtId="38" fontId="13" fillId="10" borderId="35" applyAlignment="1" pivotButton="0" quotePrefix="0" xfId="0">
      <alignment vertical="center"/>
    </xf>
    <xf numFmtId="38" fontId="13" fillId="10" borderId="34" applyAlignment="1" pivotButton="0" quotePrefix="0" xfId="0">
      <alignment vertical="center"/>
    </xf>
    <xf numFmtId="38" fontId="13" fillId="10" borderId="118" applyAlignment="1" pivotButton="0" quotePrefix="0" xfId="0">
      <alignment vertical="center"/>
    </xf>
    <xf numFmtId="38" fontId="13" fillId="10" borderId="36" applyAlignment="1" pivotButton="0" quotePrefix="0" xfId="0">
      <alignment vertical="center"/>
    </xf>
    <xf numFmtId="38" fontId="13" fillId="10" borderId="119" applyAlignment="1" pivotButton="0" quotePrefix="0" xfId="0">
      <alignment vertical="center"/>
    </xf>
    <xf numFmtId="38" fontId="13" fillId="0" borderId="38" applyAlignment="1" pivotButton="0" quotePrefix="0" xfId="0">
      <alignment vertical="center"/>
    </xf>
    <xf numFmtId="40" fontId="20" fillId="9" borderId="0" applyAlignment="1" pivotButton="0" quotePrefix="0" xfId="0">
      <alignment vertical="center"/>
    </xf>
    <xf numFmtId="38" fontId="4" fillId="0" borderId="73" applyAlignment="1" applyProtection="1" pivotButton="0" quotePrefix="0" xfId="2">
      <alignment vertical="center"/>
      <protection locked="0" hidden="0"/>
    </xf>
    <xf numFmtId="38" fontId="4" fillId="0" borderId="74" applyAlignment="1" applyProtection="1" pivotButton="0" quotePrefix="0" xfId="2">
      <alignment vertical="center"/>
      <protection locked="0" hidden="0"/>
    </xf>
    <xf numFmtId="38" fontId="4" fillId="0" borderId="75" applyAlignment="1" applyProtection="1" pivotButton="0" quotePrefix="0" xfId="2">
      <alignment vertical="center"/>
      <protection locked="0" hidden="0"/>
    </xf>
    <xf numFmtId="38" fontId="4" fillId="0" borderId="76" applyAlignment="1" applyProtection="1" pivotButton="0" quotePrefix="0" xfId="2">
      <alignment vertical="center"/>
      <protection locked="0" hidden="0"/>
    </xf>
    <xf numFmtId="38" fontId="4" fillId="0" borderId="81" applyAlignment="1" applyProtection="1" pivotButton="0" quotePrefix="0" xfId="2">
      <alignment vertical="center"/>
      <protection locked="0" hidden="0"/>
    </xf>
    <xf numFmtId="38" fontId="4" fillId="0" borderId="82" applyAlignment="1" applyProtection="1" pivotButton="0" quotePrefix="0" xfId="2">
      <alignment vertical="center"/>
      <protection locked="0" hidden="0"/>
    </xf>
    <xf numFmtId="38" fontId="4" fillId="0" borderId="83" applyAlignment="1" applyProtection="1" pivotButton="0" quotePrefix="0" xfId="2">
      <alignment vertical="center"/>
      <protection locked="0" hidden="0"/>
    </xf>
    <xf numFmtId="38" fontId="4" fillId="0" borderId="84" applyAlignment="1" applyProtection="1" pivotButton="0" quotePrefix="0" xfId="2">
      <alignment vertical="center"/>
      <protection locked="0" hidden="0"/>
    </xf>
    <xf numFmtId="0" fontId="13" fillId="10" borderId="49" applyAlignment="1" pivotButton="0" quotePrefix="0" xfId="0">
      <alignment horizontal="center" vertical="center"/>
    </xf>
    <xf numFmtId="0" fontId="0" fillId="0" borderId="49" pivotButton="0" quotePrefix="0" xfId="0"/>
    <xf numFmtId="0" fontId="8" fillId="7" borderId="42" applyAlignment="1" pivotButton="0" quotePrefix="0" xfId="0">
      <alignment vertical="center" wrapText="1"/>
    </xf>
    <xf numFmtId="0" fontId="0" fillId="0" borderId="53" pivotButton="0" quotePrefix="0" xfId="0"/>
    <xf numFmtId="0" fontId="0" fillId="0" borderId="54" pivotButton="0" quotePrefix="0" xfId="0"/>
    <xf numFmtId="0" fontId="0" fillId="0" borderId="55" pivotButton="0" quotePrefix="0" xfId="0"/>
    <xf numFmtId="0" fontId="0" fillId="0" borderId="0" pivotButton="0" quotePrefix="0" xfId="0"/>
    <xf numFmtId="0" fontId="0" fillId="0" borderId="56" pivotButton="0" quotePrefix="0" xfId="0"/>
    <xf numFmtId="0" fontId="0" fillId="0" borderId="48" pivotButton="0" quotePrefix="0" xfId="0"/>
    <xf numFmtId="0" fontId="0" fillId="0" borderId="50" pivotButton="0" quotePrefix="0" xfId="0"/>
    <xf numFmtId="0" fontId="11" fillId="2" borderId="29" applyAlignment="1" pivotButton="0" quotePrefix="0" xfId="0">
      <alignment horizontal="center" vertical="center"/>
    </xf>
    <xf numFmtId="0" fontId="0" fillId="0" borderId="99" pivotButton="0" quotePrefix="0" xfId="0"/>
    <xf numFmtId="0" fontId="0" fillId="0" borderId="47" pivotButton="0" quotePrefix="0" xfId="0"/>
    <xf numFmtId="38" fontId="27" fillId="0" borderId="18" applyAlignment="1" pivotButton="0" quotePrefix="0" xfId="2">
      <alignment horizontal="left" vertical="center"/>
    </xf>
    <xf numFmtId="0" fontId="0" fillId="0" borderId="18" pivotButton="0" quotePrefix="0" xfId="0"/>
    <xf numFmtId="168" fontId="10" fillId="0" borderId="102" applyAlignment="1" pivotButton="0" quotePrefix="0" xfId="3">
      <alignment horizontal="center" vertical="center"/>
    </xf>
    <xf numFmtId="0" fontId="0" fillId="0" borderId="104" pivotButton="0" quotePrefix="0" xfId="0"/>
    <xf numFmtId="168" fontId="26" fillId="0" borderId="101" applyAlignment="1" pivotButton="0" quotePrefix="0" xfId="3">
      <alignment horizontal="center" vertical="center"/>
    </xf>
    <xf numFmtId="0" fontId="0" fillId="0" borderId="103" pivotButton="0" quotePrefix="0" xfId="0"/>
    <xf numFmtId="38" fontId="27" fillId="0" borderId="5" applyAlignment="1" pivotButton="0" quotePrefix="0" xfId="3">
      <alignment horizontal="left" vertical="center"/>
    </xf>
    <xf numFmtId="0" fontId="0" fillId="0" borderId="5" pivotButton="0" quotePrefix="0" xfId="0"/>
    <xf numFmtId="168" fontId="10" fillId="0" borderId="104" applyAlignment="1" pivotButton="0" quotePrefix="0" xfId="3">
      <alignment horizontal="center" vertical="center"/>
    </xf>
    <xf numFmtId="38" fontId="31" fillId="3" borderId="20" applyAlignment="1" pivotButton="0" quotePrefix="0" xfId="2">
      <alignment horizontal="center" vertical="center"/>
    </xf>
    <xf numFmtId="0" fontId="0" fillId="0" borderId="97" pivotButton="0" quotePrefix="0" xfId="0"/>
    <xf numFmtId="0" fontId="0" fillId="0" borderId="105" pivotButton="0" quotePrefix="0" xfId="0"/>
    <xf numFmtId="0" fontId="0" fillId="0" borderId="106" pivotButton="0" quotePrefix="0" xfId="0"/>
    <xf numFmtId="38" fontId="27" fillId="0" borderId="19" applyAlignment="1" pivotButton="0" quotePrefix="0" xfId="2">
      <alignment horizontal="left" vertical="center"/>
    </xf>
    <xf numFmtId="168" fontId="26" fillId="0" borderId="103" applyAlignment="1" pivotButton="0" quotePrefix="0" xfId="3">
      <alignment horizontal="center" vertical="center"/>
    </xf>
    <xf numFmtId="38" fontId="27" fillId="0" borderId="120" applyAlignment="1" pivotButton="0" quotePrefix="0" xfId="2">
      <alignment vertical="top" wrapText="1"/>
    </xf>
    <xf numFmtId="0" fontId="0" fillId="0" borderId="107" pivotButton="0" quotePrefix="0" xfId="0"/>
    <xf numFmtId="0" fontId="0" fillId="0" borderId="108" pivotButton="0" quotePrefix="0" xfId="0"/>
    <xf numFmtId="0" fontId="0" fillId="0" borderId="109" pivotButton="0" quotePrefix="0" xfId="0"/>
    <xf numFmtId="0" fontId="0" fillId="0" borderId="110" pivotButton="0" quotePrefix="0" xfId="0"/>
    <xf numFmtId="0" fontId="0" fillId="0" borderId="111" pivotButton="0" quotePrefix="0" xfId="0"/>
    <xf numFmtId="168" fontId="32" fillId="0" borderId="102" applyAlignment="1" pivotButton="0" quotePrefix="0" xfId="3">
      <alignment horizontal="center" vertical="center"/>
    </xf>
    <xf numFmtId="38" fontId="31" fillId="3" borderId="20" applyAlignment="1" pivotButton="0" quotePrefix="0" xfId="2">
      <alignment horizontal="left" vertical="center"/>
    </xf>
    <xf numFmtId="38" fontId="27" fillId="0" borderId="120" applyAlignment="1" pivotButton="0" quotePrefix="0" xfId="2">
      <alignment horizontal="left" vertical="center" wrapText="1"/>
    </xf>
    <xf numFmtId="0" fontId="39" fillId="7" borderId="112" applyAlignment="1" pivotButton="0" quotePrefix="0" xfId="0">
      <alignment horizontal="center" vertical="center"/>
    </xf>
    <xf numFmtId="0" fontId="0" fillId="0" borderId="45" pivotButton="0" quotePrefix="0" xfId="0"/>
    <xf numFmtId="0" fontId="25" fillId="7" borderId="42" applyAlignment="1" pivotButton="0" quotePrefix="0" xfId="1">
      <alignment horizontal="center" vertical="center" wrapText="1"/>
    </xf>
    <xf numFmtId="0" fontId="0" fillId="0" borderId="100" pivotButton="0" quotePrefix="0" xfId="0"/>
    <xf numFmtId="0" fontId="25" fillId="7" borderId="42" applyAlignment="1" pivotButton="0" quotePrefix="0" xfId="1">
      <alignment horizontal="center" vertical="center"/>
    </xf>
    <xf numFmtId="0" fontId="39" fillId="7" borderId="113" applyAlignment="1" pivotButton="0" quotePrefix="0" xfId="0">
      <alignment horizontal="center" vertical="center"/>
    </xf>
    <xf numFmtId="0" fontId="0" fillId="0" borderId="121" pivotButton="0" quotePrefix="0" xfId="0"/>
    <xf numFmtId="0" fontId="38" fillId="2" borderId="0" applyAlignment="1" pivotButton="0" quotePrefix="0" xfId="0">
      <alignment vertical="center" wrapText="1"/>
    </xf>
    <xf numFmtId="0" fontId="1" fillId="0" borderId="0" applyAlignment="1" pivotButton="0" quotePrefix="0" xfId="0">
      <alignment vertical="center"/>
    </xf>
    <xf numFmtId="0" fontId="1" fillId="0" borderId="0" applyAlignment="1" pivotButton="0" quotePrefix="0" xfId="0">
      <alignment horizontal="center" vertical="center"/>
    </xf>
    <xf numFmtId="165" fontId="13" fillId="0" borderId="0" applyAlignment="1" pivotButton="0" quotePrefix="0" xfId="0">
      <alignment vertical="center"/>
    </xf>
    <xf numFmtId="166" fontId="13" fillId="0" borderId="0" applyAlignment="1" pivotButton="0" quotePrefix="0" xfId="0">
      <alignment vertical="center"/>
    </xf>
    <xf numFmtId="167" fontId="13" fillId="0" borderId="0" applyAlignment="1" pivotButton="0" quotePrefix="0" xfId="0">
      <alignment vertical="center"/>
    </xf>
    <xf numFmtId="168" fontId="22" fillId="0" borderId="1" applyAlignment="1" pivotButton="0" quotePrefix="0" xfId="3">
      <alignment horizontal="center" vertical="center"/>
    </xf>
    <xf numFmtId="168" fontId="22" fillId="0" borderId="1" applyAlignment="1" pivotButton="0" quotePrefix="1" xfId="3">
      <alignment horizontal="center" vertical="center"/>
    </xf>
    <xf numFmtId="168" fontId="22" fillId="0" borderId="24" applyAlignment="1" pivotButton="0" quotePrefix="1" xfId="3">
      <alignment horizontal="center" vertical="center"/>
    </xf>
    <xf numFmtId="168" fontId="10" fillId="0" borderId="104" applyAlignment="1" pivotButton="0" quotePrefix="0" xfId="3">
      <alignment horizontal="center" vertical="center"/>
    </xf>
    <xf numFmtId="168" fontId="10" fillId="0" borderId="102" applyAlignment="1" pivotButton="0" quotePrefix="0" xfId="3">
      <alignment horizontal="center" vertical="center"/>
    </xf>
    <xf numFmtId="168" fontId="26" fillId="0" borderId="103" applyAlignment="1" pivotButton="0" quotePrefix="0" xfId="3">
      <alignment horizontal="center" vertical="center"/>
    </xf>
    <xf numFmtId="168" fontId="26" fillId="0" borderId="101" applyAlignment="1" pivotButton="0" quotePrefix="0" xfId="3">
      <alignment horizontal="center" vertical="center"/>
    </xf>
    <xf numFmtId="164" fontId="27" fillId="10" borderId="11" applyAlignment="1" pivotButton="0" quotePrefix="0" xfId="2">
      <alignment vertical="center"/>
    </xf>
    <xf numFmtId="164" fontId="27" fillId="10" borderId="65" applyAlignment="1" applyProtection="1" pivotButton="0" quotePrefix="0" xfId="2">
      <alignment vertical="center"/>
      <protection locked="0" hidden="0"/>
    </xf>
    <xf numFmtId="164" fontId="27" fillId="10" borderId="0" applyAlignment="1" pivotButton="0" quotePrefix="0" xfId="2">
      <alignment vertical="center"/>
    </xf>
    <xf numFmtId="164" fontId="27" fillId="10" borderId="12" applyAlignment="1" pivotButton="0" quotePrefix="0" xfId="2">
      <alignment horizontal="right" vertical="center"/>
    </xf>
    <xf numFmtId="164" fontId="27" fillId="10" borderId="63" applyAlignment="1" pivotButton="0" quotePrefix="0" xfId="2">
      <alignment vertical="center"/>
    </xf>
    <xf numFmtId="164" fontId="27" fillId="10" borderId="67" applyAlignment="1" applyProtection="1" pivotButton="0" quotePrefix="0" xfId="2">
      <alignment vertical="center"/>
      <protection locked="0" hidden="0"/>
    </xf>
    <xf numFmtId="164" fontId="29" fillId="10" borderId="98" applyAlignment="1" pivotButton="0" quotePrefix="0" xfId="3">
      <alignment horizontal="left" vertical="center"/>
    </xf>
    <xf numFmtId="164" fontId="27" fillId="10" borderId="13" applyAlignment="1" pivotButton="0" quotePrefix="0" xfId="2">
      <alignment vertical="center"/>
    </xf>
    <xf numFmtId="164" fontId="27" fillId="10" borderId="69" applyAlignment="1" applyProtection="1" pivotButton="0" quotePrefix="0" xfId="2">
      <alignment vertical="center"/>
      <protection locked="0" hidden="0"/>
    </xf>
    <xf numFmtId="164" fontId="27" fillId="10" borderId="12" applyAlignment="1" pivotButton="0" quotePrefix="0" xfId="2">
      <alignment horizontal="right" vertical="center" wrapText="1"/>
    </xf>
    <xf numFmtId="164" fontId="27" fillId="10" borderId="14" applyAlignment="1" pivotButton="0" quotePrefix="0" xfId="2">
      <alignment horizontal="center" vertical="center"/>
    </xf>
    <xf numFmtId="164" fontId="27" fillId="10" borderId="71" applyAlignment="1" pivotButton="0" quotePrefix="0" xfId="2">
      <alignment vertical="center"/>
    </xf>
    <xf numFmtId="164" fontId="27" fillId="10" borderId="15" applyAlignment="1" pivotButton="0" quotePrefix="0" xfId="2">
      <alignment horizontal="center" vertical="center"/>
    </xf>
    <xf numFmtId="164" fontId="27" fillId="10" borderId="70" applyAlignment="1" pivotButton="0" quotePrefix="0" xfId="2">
      <alignment vertical="center"/>
    </xf>
    <xf numFmtId="164" fontId="4" fillId="10" borderId="12" applyAlignment="1" applyProtection="1" pivotButton="0" quotePrefix="0" xfId="2">
      <alignment vertical="center"/>
      <protection locked="0" hidden="0"/>
    </xf>
    <xf numFmtId="164" fontId="4" fillId="10" borderId="61" applyAlignment="1" applyProtection="1" pivotButton="0" quotePrefix="0" xfId="2">
      <alignment vertical="center"/>
      <protection locked="0" hidden="0"/>
    </xf>
    <xf numFmtId="164" fontId="4" fillId="10" borderId="62" applyAlignment="1" applyProtection="1" pivotButton="0" quotePrefix="0" xfId="2">
      <alignment vertical="center"/>
      <protection locked="0" hidden="0"/>
    </xf>
    <xf numFmtId="164" fontId="30" fillId="10" borderId="62" applyAlignment="1" applyProtection="1" pivotButton="0" quotePrefix="0" xfId="2">
      <alignment vertical="center"/>
      <protection locked="0" hidden="0"/>
    </xf>
    <xf numFmtId="164" fontId="4" fillId="10" borderId="63" applyAlignment="1" applyProtection="1" pivotButton="0" quotePrefix="0" xfId="2">
      <alignment vertical="center"/>
      <protection locked="0" hidden="0"/>
    </xf>
    <xf numFmtId="164" fontId="4" fillId="11" borderId="114" applyAlignment="1" applyProtection="1" pivotButton="0" quotePrefix="0" xfId="0">
      <alignment vertical="center"/>
      <protection locked="0" hidden="0"/>
    </xf>
    <xf numFmtId="164" fontId="4" fillId="10" borderId="73" applyAlignment="1" applyProtection="1" pivotButton="0" quotePrefix="0" xfId="2">
      <alignment vertical="center"/>
      <protection locked="0" hidden="0"/>
    </xf>
    <xf numFmtId="164" fontId="4" fillId="10" borderId="74" applyAlignment="1" applyProtection="1" pivotButton="0" quotePrefix="0" xfId="2">
      <alignment vertical="center"/>
      <protection locked="0" hidden="0"/>
    </xf>
    <xf numFmtId="164" fontId="19" fillId="10" borderId="75" applyAlignment="1" applyProtection="1" pivotButton="0" quotePrefix="0" xfId="2">
      <alignment vertical="center"/>
      <protection locked="0" hidden="0"/>
    </xf>
    <xf numFmtId="164" fontId="4" fillId="10" borderId="75" applyAlignment="1" applyProtection="1" pivotButton="0" quotePrefix="0" xfId="2">
      <alignment vertical="center"/>
      <protection locked="0" hidden="0"/>
    </xf>
    <xf numFmtId="164" fontId="30" fillId="10" borderId="75" applyAlignment="1" applyProtection="1" pivotButton="0" quotePrefix="0" xfId="2">
      <alignment vertical="center"/>
      <protection locked="0" hidden="0"/>
    </xf>
    <xf numFmtId="164" fontId="4" fillId="10" borderId="76" applyAlignment="1" applyProtection="1" pivotButton="0" quotePrefix="0" xfId="2">
      <alignment vertical="center"/>
      <protection locked="0" hidden="0"/>
    </xf>
    <xf numFmtId="164" fontId="4" fillId="10" borderId="77" applyAlignment="1" pivotButton="0" quotePrefix="0" xfId="2">
      <alignment vertical="center"/>
    </xf>
    <xf numFmtId="164" fontId="4" fillId="10" borderId="78" applyAlignment="1" pivotButton="0" quotePrefix="0" xfId="2">
      <alignment vertical="center"/>
    </xf>
    <xf numFmtId="164" fontId="4" fillId="10" borderId="80" applyAlignment="1" pivotButton="0" quotePrefix="0" xfId="2">
      <alignment vertical="center"/>
    </xf>
    <xf numFmtId="164" fontId="4" fillId="10" borderId="81" applyAlignment="1" applyProtection="1" pivotButton="0" quotePrefix="0" xfId="2">
      <alignment vertical="center"/>
      <protection locked="0" hidden="0"/>
    </xf>
    <xf numFmtId="164" fontId="4" fillId="10" borderId="82" applyAlignment="1" applyProtection="1" pivotButton="0" quotePrefix="0" xfId="2">
      <alignment vertical="center"/>
      <protection locked="0" hidden="0"/>
    </xf>
    <xf numFmtId="164" fontId="4" fillId="10" borderId="83" applyAlignment="1" applyProtection="1" pivotButton="0" quotePrefix="0" xfId="2">
      <alignment vertical="center"/>
      <protection locked="0" hidden="0"/>
    </xf>
    <xf numFmtId="164" fontId="19" fillId="10" borderId="83" applyAlignment="1" applyProtection="1" pivotButton="0" quotePrefix="0" xfId="2">
      <alignment vertical="center"/>
      <protection locked="0" hidden="0"/>
    </xf>
    <xf numFmtId="164" fontId="30" fillId="10" borderId="83" applyAlignment="1" applyProtection="1" pivotButton="0" quotePrefix="0" xfId="2">
      <alignment vertical="center"/>
      <protection locked="0" hidden="0"/>
    </xf>
    <xf numFmtId="164" fontId="4" fillId="10" borderId="84" applyAlignment="1" applyProtection="1" pivotButton="0" quotePrefix="0" xfId="2">
      <alignment vertical="center"/>
      <protection locked="0" hidden="0"/>
    </xf>
    <xf numFmtId="169" fontId="27" fillId="0" borderId="0" applyAlignment="1" pivotButton="0" quotePrefix="0" xfId="2">
      <alignment vertical="center"/>
    </xf>
    <xf numFmtId="164" fontId="4" fillId="10" borderId="62" applyAlignment="1" applyProtection="1" pivotButton="0" quotePrefix="1" xfId="2">
      <alignment vertical="center"/>
      <protection locked="0" hidden="0"/>
    </xf>
    <xf numFmtId="164" fontId="19" fillId="10" borderId="62" applyAlignment="1" applyProtection="1" pivotButton="0" quotePrefix="0" xfId="2">
      <alignment vertical="center"/>
      <protection locked="0" hidden="0"/>
    </xf>
    <xf numFmtId="164" fontId="19" fillId="10" borderId="12" applyAlignment="1" applyProtection="1" pivotButton="0" quotePrefix="0" xfId="2">
      <alignment vertical="center"/>
      <protection locked="0" hidden="0"/>
    </xf>
    <xf numFmtId="164" fontId="25" fillId="10" borderId="62" applyAlignment="1" applyProtection="1" pivotButton="0" quotePrefix="0" xfId="1">
      <alignment vertical="center"/>
      <protection locked="0" hidden="0"/>
    </xf>
    <xf numFmtId="164" fontId="4" fillId="10" borderId="61" applyAlignment="1" applyProtection="1" pivotButton="0" quotePrefix="1" xfId="2">
      <alignment vertical="center"/>
      <protection locked="0" hidden="0"/>
    </xf>
    <xf numFmtId="164" fontId="4" fillId="10" borderId="86" applyAlignment="1" applyProtection="1" pivotButton="0" quotePrefix="0" xfId="2">
      <alignment vertical="center"/>
      <protection locked="0" hidden="0"/>
    </xf>
    <xf numFmtId="164" fontId="4" fillId="10" borderId="87" applyAlignment="1" applyProtection="1" pivotButton="0" quotePrefix="0" xfId="2">
      <alignment vertical="center"/>
      <protection locked="0" hidden="0"/>
    </xf>
    <xf numFmtId="164" fontId="4" fillId="10" borderId="88" applyAlignment="1" applyProtection="1" pivotButton="0" quotePrefix="0" xfId="2">
      <alignment vertical="center"/>
      <protection locked="0" hidden="0"/>
    </xf>
    <xf numFmtId="164" fontId="4" fillId="10" borderId="89" applyAlignment="1" applyProtection="1" pivotButton="0" quotePrefix="0" xfId="2">
      <alignment vertical="center"/>
      <protection locked="0" hidden="0"/>
    </xf>
    <xf numFmtId="164" fontId="30" fillId="10" borderId="88" applyAlignment="1" applyProtection="1" pivotButton="0" quotePrefix="0" xfId="2">
      <alignment vertical="center"/>
      <protection locked="0" hidden="0"/>
    </xf>
    <xf numFmtId="164" fontId="4" fillId="10" borderId="79" applyAlignment="1" pivotButton="0" quotePrefix="0" xfId="2">
      <alignment vertical="center"/>
    </xf>
    <xf numFmtId="164" fontId="4" fillId="10" borderId="90" applyAlignment="1" applyProtection="1" pivotButton="0" quotePrefix="0" xfId="2">
      <alignment vertical="center"/>
      <protection locked="0" hidden="0"/>
    </xf>
    <xf numFmtId="164" fontId="4" fillId="10" borderId="91" applyAlignment="1" applyProtection="1" pivotButton="0" quotePrefix="0" xfId="2">
      <alignment vertical="center"/>
      <protection locked="0" hidden="0"/>
    </xf>
    <xf numFmtId="164" fontId="4" fillId="10" borderId="92" applyAlignment="1" applyProtection="1" pivotButton="0" quotePrefix="0" xfId="2">
      <alignment vertical="center"/>
      <protection locked="0" hidden="0"/>
    </xf>
    <xf numFmtId="164" fontId="4" fillId="10" borderId="93" applyAlignment="1" applyProtection="1" pivotButton="0" quotePrefix="0" xfId="2">
      <alignment vertical="center"/>
      <protection locked="0" hidden="0"/>
    </xf>
    <xf numFmtId="164" fontId="4" fillId="10" borderId="94" applyAlignment="1" pivotButton="0" quotePrefix="0" xfId="2">
      <alignment vertical="center"/>
    </xf>
    <xf numFmtId="164" fontId="4" fillId="10" borderId="95" applyAlignment="1" pivotButton="0" quotePrefix="0" xfId="2">
      <alignment vertical="center"/>
    </xf>
    <xf numFmtId="164" fontId="4" fillId="10" borderId="96" applyAlignment="1" pivotButton="0" quotePrefix="0" xfId="2">
      <alignment vertical="center"/>
    </xf>
    <xf numFmtId="170" fontId="27" fillId="0" borderId="0" applyAlignment="1" pivotButton="0" quotePrefix="0" xfId="2">
      <alignment vertical="center"/>
    </xf>
    <xf numFmtId="164" fontId="27" fillId="10" borderId="68" applyAlignment="1" applyProtection="1" pivotButton="0" quotePrefix="0" xfId="2">
      <alignment vertical="center"/>
      <protection locked="0" hidden="0"/>
    </xf>
    <xf numFmtId="168" fontId="32" fillId="0" borderId="102" applyAlignment="1" pivotButton="0" quotePrefix="0" xfId="3">
      <alignment horizontal="center" vertical="center"/>
    </xf>
    <xf numFmtId="164" fontId="4" fillId="10" borderId="75" applyAlignment="1" applyProtection="1" pivotButton="0" quotePrefix="1" xfId="2">
      <alignment vertical="center"/>
      <protection locked="0" hidden="0"/>
    </xf>
    <xf numFmtId="171" fontId="9" fillId="0" borderId="0" applyAlignment="1" pivotButton="0" quotePrefix="0" xfId="2">
      <alignment vertical="center"/>
    </xf>
    <xf numFmtId="172" fontId="33" fillId="0" borderId="0" pivotButton="0" quotePrefix="0" xfId="5"/>
    <xf numFmtId="172" fontId="34" fillId="0" borderId="0" pivotButton="0" quotePrefix="0" xfId="5"/>
    <xf numFmtId="171" fontId="34" fillId="0" borderId="0" pivotButton="0" quotePrefix="0" xfId="4"/>
    <xf numFmtId="164" fontId="27" fillId="10" borderId="64" applyAlignment="1" applyProtection="1" pivotButton="0" quotePrefix="0" xfId="2">
      <alignment vertical="center"/>
      <protection locked="0" hidden="0"/>
    </xf>
    <xf numFmtId="164" fontId="27" fillId="10" borderId="66" applyAlignment="1" applyProtection="1" pivotButton="0" quotePrefix="0" xfId="2">
      <alignment vertical="center"/>
      <protection locked="0" hidden="0"/>
    </xf>
    <xf numFmtId="164" fontId="27" fillId="10" borderId="67" applyAlignment="1" applyProtection="1" pivotButton="0" quotePrefix="1" xfId="2">
      <alignment vertical="center"/>
      <protection locked="0" hidden="0"/>
    </xf>
    <xf numFmtId="173" fontId="9" fillId="0" borderId="0" applyAlignment="1" pivotButton="0" quotePrefix="0" xfId="0">
      <alignment vertical="center"/>
    </xf>
    <xf numFmtId="164" fontId="27" fillId="10" borderId="65" applyAlignment="1" applyProtection="1" pivotButton="0" quotePrefix="0" xfId="2">
      <alignment horizontal="left" vertical="center"/>
      <protection locked="0" hidden="0"/>
    </xf>
    <xf numFmtId="164" fontId="27" fillId="10" borderId="0" applyAlignment="1" pivotButton="0" quotePrefix="0" xfId="2">
      <alignment horizontal="left" vertical="center"/>
    </xf>
    <xf numFmtId="164" fontId="27" fillId="10" borderId="12" applyAlignment="1" pivotButton="0" quotePrefix="0" xfId="2">
      <alignment horizontal="left" vertical="center"/>
    </xf>
    <xf numFmtId="164" fontId="27" fillId="10" borderId="63" applyAlignment="1" pivotButton="0" quotePrefix="0" xfId="2">
      <alignment horizontal="left" vertical="center"/>
    </xf>
    <xf numFmtId="164" fontId="27" fillId="10" borderId="67" applyAlignment="1" applyProtection="1" pivotButton="0" quotePrefix="0" xfId="2">
      <alignment horizontal="left" vertical="center"/>
      <protection locked="0" hidden="0"/>
    </xf>
    <xf numFmtId="164" fontId="29" fillId="10" borderId="13" applyAlignment="1" pivotButton="0" quotePrefix="0" xfId="2">
      <alignment vertical="center"/>
    </xf>
    <xf numFmtId="164" fontId="27" fillId="10" borderId="69" applyAlignment="1" applyProtection="1" pivotButton="0" quotePrefix="0" xfId="2">
      <alignment horizontal="left" vertical="center"/>
      <protection locked="0" hidden="0"/>
    </xf>
    <xf numFmtId="164" fontId="27" fillId="10" borderId="12" applyAlignment="1" pivotButton="0" quotePrefix="0" xfId="2">
      <alignment horizontal="left" vertical="center" wrapText="1"/>
    </xf>
    <xf numFmtId="164" fontId="27" fillId="10" borderId="71" applyAlignment="1" pivotButton="0" quotePrefix="0" xfId="2">
      <alignment horizontal="left" vertical="center"/>
    </xf>
    <xf numFmtId="164" fontId="27" fillId="10" borderId="15" applyAlignment="1" pivotButton="0" quotePrefix="0" xfId="2">
      <alignment horizontal="left" vertical="center"/>
    </xf>
    <xf numFmtId="164" fontId="27" fillId="10" borderId="70" applyAlignment="1" pivotButton="0" quotePrefix="0" xfId="2">
      <alignment horizontal="left" vertical="center"/>
    </xf>
    <xf numFmtId="164" fontId="4" fillId="10" borderId="61" applyAlignment="1" applyProtection="1" pivotButton="0" quotePrefix="0" xfId="2">
      <alignment horizontal="left" vertical="center"/>
      <protection locked="0" hidden="0"/>
    </xf>
    <xf numFmtId="164" fontId="4" fillId="10" borderId="78" applyAlignment="1" pivotButton="0" quotePrefix="0" xfId="2">
      <alignment horizontal="left" vertical="center"/>
    </xf>
    <xf numFmtId="170" fontId="36" fillId="0" borderId="0" applyAlignment="1" pivotButton="0" quotePrefix="0" xfId="2">
      <alignment vertical="center"/>
    </xf>
    <xf numFmtId="164" fontId="27" fillId="10" borderId="65" applyAlignment="1" applyProtection="1" pivotButton="0" quotePrefix="1" xfId="2">
      <alignment vertical="center"/>
      <protection locked="0" hidden="0"/>
    </xf>
    <xf numFmtId="164" fontId="29" fillId="10" borderId="11" applyAlignment="1" pivotButton="0" quotePrefix="0" xfId="2">
      <alignment vertical="center"/>
    </xf>
    <xf numFmtId="171" fontId="9" fillId="0" borderId="0" pivotButton="0" quotePrefix="0" xfId="0"/>
    <xf numFmtId="172" fontId="9" fillId="0" borderId="0" pivotButton="0" quotePrefix="0" xfId="5"/>
    <xf numFmtId="167" fontId="27" fillId="0" borderId="0" applyAlignment="1" pivotButton="0" quotePrefix="0" xfId="2">
      <alignment vertical="center"/>
    </xf>
    <xf numFmtId="174" fontId="41" fillId="0" borderId="31" applyAlignment="1" pivotButton="0" quotePrefix="0" xfId="0">
      <alignment horizontal="center" vertical="center"/>
    </xf>
    <xf numFmtId="174" fontId="42" fillId="0" borderId="31" applyAlignment="1" pivotButton="0" quotePrefix="0" xfId="0">
      <alignment horizontal="center" vertical="center"/>
    </xf>
    <xf numFmtId="174" fontId="41" fillId="0" borderId="33" applyAlignment="1" pivotButton="0" quotePrefix="0" xfId="0">
      <alignment horizontal="center" vertical="center"/>
    </xf>
    <xf numFmtId="174" fontId="42" fillId="0" borderId="33" applyAlignment="1" pivotButton="0" quotePrefix="0" xfId="0">
      <alignment horizontal="center" vertical="center"/>
    </xf>
    <xf numFmtId="174" fontId="41" fillId="0" borderId="51" applyAlignment="1" pivotButton="0" quotePrefix="0" xfId="0">
      <alignment horizontal="center" vertical="center"/>
    </xf>
    <xf numFmtId="174" fontId="42" fillId="0" borderId="51" applyAlignment="1" pivotButton="0" quotePrefix="0" xfId="0">
      <alignment horizontal="center" vertical="center"/>
    </xf>
    <xf numFmtId="0" fontId="46" fillId="0" borderId="0" applyAlignment="1" pivotButton="0" quotePrefix="0" xfId="0">
      <alignment horizontal="left" vertical="center"/>
    </xf>
    <xf numFmtId="40" fontId="46" fillId="14" borderId="0" applyAlignment="1" pivotButton="0" quotePrefix="0" xfId="0">
      <alignment horizontal="left" vertical="center"/>
    </xf>
    <xf numFmtId="0" fontId="44" fillId="12" borderId="0" applyAlignment="1" pivotButton="0" quotePrefix="0" xfId="0">
      <alignment horizontal="left" vertical="center" wrapText="1"/>
    </xf>
    <xf numFmtId="0" fontId="45" fillId="13" borderId="130" applyAlignment="1" pivotButton="0" quotePrefix="0" xfId="0">
      <alignment horizontal="center" vertical="center" wrapText="1"/>
    </xf>
    <xf numFmtId="0" fontId="0" fillId="13" borderId="130" applyAlignment="1" pivotButton="0" quotePrefix="0" xfId="0">
      <alignment horizontal="center" vertical="center" wrapText="1"/>
    </xf>
    <xf numFmtId="38" fontId="44" fillId="12" borderId="0" applyAlignment="1" pivotButton="0" quotePrefix="0" xfId="2">
      <alignment horizontal="left" vertical="center" wrapText="1"/>
    </xf>
    <xf numFmtId="38" fontId="45" fillId="13" borderId="130" applyAlignment="1" pivotButton="0" quotePrefix="0" xfId="2">
      <alignment horizontal="center" vertical="center" wrapText="1"/>
    </xf>
    <xf numFmtId="14" fontId="45" fillId="13" borderId="130" applyAlignment="1" pivotButton="0" quotePrefix="0" xfId="0">
      <alignment horizontal="center" vertical="center" wrapText="1"/>
    </xf>
    <xf numFmtId="40" fontId="45" fillId="13" borderId="130" applyAlignment="1" pivotButton="0" quotePrefix="0" xfId="0">
      <alignment horizontal="center" vertical="center" wrapText="1"/>
    </xf>
    <xf numFmtId="14" fontId="44" fillId="12" borderId="0" applyAlignment="1" pivotButton="0" quotePrefix="0" xfId="0">
      <alignment horizontal="left" vertical="center" wrapText="1"/>
    </xf>
    <xf numFmtId="38" fontId="45" fillId="13" borderId="130" applyAlignment="1" pivotButton="0" quotePrefix="0" xfId="3">
      <alignment horizontal="center" vertical="center" wrapText="1"/>
    </xf>
    <xf numFmtId="0" fontId="0" fillId="0" borderId="0" applyAlignment="1" pivotButton="0" quotePrefix="0" xfId="0">
      <alignment vertical="center" wrapText="1"/>
    </xf>
    <xf numFmtId="0" fontId="47" fillId="0" borderId="0" applyAlignment="1" pivotButton="0" quotePrefix="0" xfId="0">
      <alignment vertical="center" wrapText="1"/>
    </xf>
    <xf numFmtId="0" fontId="0" fillId="0" borderId="133" pivotButton="0" quotePrefix="0" xfId="0"/>
    <xf numFmtId="0" fontId="0" fillId="0" borderId="134" pivotButton="0" quotePrefix="0" xfId="0"/>
    <xf numFmtId="40" fontId="0" fillId="0" borderId="0" pivotButton="0" quotePrefix="0" xfId="0"/>
    <xf numFmtId="40" fontId="33" fillId="0" borderId="0" pivotButton="0" quotePrefix="0" xfId="0"/>
    <xf numFmtId="40" fontId="9" fillId="0" borderId="0" pivotButton="0" quotePrefix="1" xfId="0"/>
    <xf numFmtId="0" fontId="47" fillId="0" borderId="0" applyAlignment="1" pivotButton="0" quotePrefix="0" xfId="0">
      <alignment horizontal="center" vertical="center" wrapText="1"/>
    </xf>
    <xf numFmtId="0" fontId="0" fillId="0" borderId="0" applyAlignment="1" pivotButton="0" quotePrefix="0" xfId="0">
      <alignment vertical="top" wrapText="1"/>
    </xf>
    <xf numFmtId="0" fontId="45" fillId="13" borderId="0" applyAlignment="1" pivotButton="0" quotePrefix="0" xfId="0">
      <alignment horizontal="center" vertical="center" wrapText="1"/>
    </xf>
    <xf numFmtId="4" fontId="4" fillId="0" borderId="58" applyAlignment="1" applyProtection="1" pivotButton="0" quotePrefix="0" xfId="2">
      <alignment vertical="center"/>
      <protection locked="0" hidden="0"/>
    </xf>
    <xf numFmtId="4" fontId="4" fillId="0" borderId="60" applyAlignment="1" applyProtection="1" pivotButton="0" quotePrefix="0" xfId="2">
      <alignment vertical="center"/>
      <protection locked="0" hidden="0"/>
    </xf>
    <xf numFmtId="4" fontId="4" fillId="0" borderId="61" applyAlignment="1" applyProtection="1" pivotButton="0" quotePrefix="0" xfId="2">
      <alignment vertical="center"/>
      <protection locked="0" hidden="0"/>
    </xf>
    <xf numFmtId="4" fontId="4" fillId="0" borderId="63" applyAlignment="1" applyProtection="1" pivotButton="0" quotePrefix="0" xfId="2">
      <alignment vertical="center"/>
      <protection locked="0" hidden="0"/>
    </xf>
    <xf numFmtId="4" fontId="27" fillId="10" borderId="64" applyAlignment="1" applyProtection="1" pivotButton="0" quotePrefix="0" xfId="2">
      <alignment vertical="center"/>
      <protection locked="0" hidden="0"/>
    </xf>
    <xf numFmtId="175" fontId="27" fillId="10" borderId="65" applyAlignment="1" applyProtection="1" pivotButton="0" quotePrefix="0" xfId="2">
      <alignment vertical="center"/>
      <protection locked="0" hidden="0"/>
    </xf>
    <xf numFmtId="4" fontId="4" fillId="0" borderId="74" applyAlignment="1" applyProtection="1" pivotButton="0" quotePrefix="0" xfId="2">
      <alignment vertical="center"/>
      <protection locked="0" hidden="0"/>
    </xf>
    <xf numFmtId="4" fontId="4" fillId="0" borderId="76" applyAlignment="1" applyProtection="1" pivotButton="0" quotePrefix="0" xfId="2">
      <alignment vertical="center"/>
      <protection locked="0" hidden="0"/>
    </xf>
    <xf numFmtId="175" fontId="27" fillId="10" borderId="67" applyAlignment="1" applyProtection="1" pivotButton="0" quotePrefix="0" xfId="2">
      <alignment vertical="center"/>
      <protection locked="0" hidden="0"/>
    </xf>
    <xf numFmtId="4" fontId="4" fillId="0" borderId="82" applyAlignment="1" applyProtection="1" pivotButton="0" quotePrefix="0" xfId="2">
      <alignment vertical="center"/>
      <protection locked="0" hidden="0"/>
    </xf>
    <xf numFmtId="4" fontId="4" fillId="0" borderId="84" applyAlignment="1" applyProtection="1" pivotButton="0" quotePrefix="0" xfId="2">
      <alignment vertical="center"/>
      <protection locked="0" hidden="0"/>
    </xf>
    <xf numFmtId="175" fontId="27" fillId="10" borderId="69" applyAlignment="1" applyProtection="1" pivotButton="0" quotePrefix="0" xfId="2">
      <alignment vertical="center"/>
      <protection locked="0" hidden="0"/>
    </xf>
    <xf numFmtId="4" fontId="4" fillId="10" borderId="61" applyAlignment="1" applyProtection="1" pivotButton="0" quotePrefix="0" xfId="2">
      <alignment vertical="center"/>
      <protection locked="0" hidden="0"/>
    </xf>
    <xf numFmtId="4" fontId="4" fillId="10" borderId="63" applyAlignment="1" applyProtection="1" pivotButton="0" quotePrefix="0" xfId="2">
      <alignment vertical="center"/>
      <protection locked="0" hidden="0"/>
    </xf>
    <xf numFmtId="175" fontId="27" fillId="0" borderId="63" applyAlignment="1" applyProtection="1" pivotButton="0" quotePrefix="1" xfId="2">
      <alignment vertical="center"/>
      <protection locked="0" hidden="0"/>
    </xf>
    <xf numFmtId="4" fontId="4" fillId="11" borderId="114" applyAlignment="1" applyProtection="1" pivotButton="0" quotePrefix="0" xfId="0">
      <alignment vertical="center"/>
      <protection locked="0" hidden="0"/>
    </xf>
    <xf numFmtId="175" fontId="27" fillId="0" borderId="115" applyAlignment="1" applyProtection="1" pivotButton="0" quotePrefix="1" xfId="0">
      <alignment vertical="center"/>
      <protection locked="0" hidden="0"/>
    </xf>
    <xf numFmtId="4" fontId="4" fillId="10" borderId="74" applyAlignment="1" applyProtection="1" pivotButton="0" quotePrefix="0" xfId="2">
      <alignment vertical="center"/>
      <protection locked="0" hidden="0"/>
    </xf>
    <xf numFmtId="4" fontId="4" fillId="10" borderId="76" applyAlignment="1" applyProtection="1" pivotButton="0" quotePrefix="0" xfId="2">
      <alignment vertical="center"/>
      <protection locked="0" hidden="0"/>
    </xf>
    <xf numFmtId="4" fontId="4" fillId="10" borderId="78" applyAlignment="1" pivotButton="0" quotePrefix="0" xfId="2">
      <alignment vertical="center"/>
    </xf>
    <xf numFmtId="4" fontId="4" fillId="10" borderId="80" applyAlignment="1" pivotButton="0" quotePrefix="0" xfId="2">
      <alignment vertical="center"/>
    </xf>
    <xf numFmtId="4" fontId="4" fillId="10" borderId="82" applyAlignment="1" applyProtection="1" pivotButton="0" quotePrefix="0" xfId="2">
      <alignment vertical="center"/>
      <protection locked="0" hidden="0"/>
    </xf>
    <xf numFmtId="4" fontId="4" fillId="10" borderId="84" applyAlignment="1" applyProtection="1" pivotButton="0" quotePrefix="0" xfId="2">
      <alignment vertical="center"/>
      <protection locked="0" hidden="0"/>
    </xf>
    <xf numFmtId="175" fontId="27" fillId="0" borderId="63" applyAlignment="1" applyProtection="1" pivotButton="0" quotePrefix="0" xfId="2">
      <alignment vertical="center"/>
      <protection locked="0" hidden="0"/>
    </xf>
    <xf numFmtId="4" fontId="4" fillId="10" borderId="62" applyAlignment="1" applyProtection="1" pivotButton="0" quotePrefix="0" xfId="2">
      <alignment vertical="center"/>
      <protection locked="0" hidden="0"/>
    </xf>
    <xf numFmtId="4" fontId="27" fillId="0" borderId="72" applyAlignment="1" applyProtection="1" pivotButton="0" quotePrefix="0" xfId="2">
      <alignment vertical="center"/>
      <protection locked="0" hidden="0"/>
    </xf>
    <xf numFmtId="4" fontId="4" fillId="10" borderId="61" applyAlignment="1" applyProtection="1" pivotButton="0" quotePrefix="1" xfId="2">
      <alignment vertical="center"/>
      <protection locked="0" hidden="0"/>
    </xf>
    <xf numFmtId="4" fontId="4" fillId="10" borderId="87" applyAlignment="1" applyProtection="1" pivotButton="0" quotePrefix="0" xfId="2">
      <alignment vertical="center"/>
      <protection locked="0" hidden="0"/>
    </xf>
    <xf numFmtId="4" fontId="4" fillId="10" borderId="89" applyAlignment="1" applyProtection="1" pivotButton="0" quotePrefix="0" xfId="2">
      <alignment vertical="center"/>
      <protection locked="0" hidden="0"/>
    </xf>
    <xf numFmtId="4" fontId="4" fillId="10" borderId="91" applyAlignment="1" applyProtection="1" pivotButton="0" quotePrefix="0" xfId="2">
      <alignment vertical="center"/>
      <protection locked="0" hidden="0"/>
    </xf>
    <xf numFmtId="4" fontId="4" fillId="10" borderId="93" applyAlignment="1" applyProtection="1" pivotButton="0" quotePrefix="0" xfId="2">
      <alignment vertical="center"/>
      <protection locked="0" hidden="0"/>
    </xf>
    <xf numFmtId="175" fontId="9" fillId="0" borderId="0" applyAlignment="1" pivotButton="0" quotePrefix="0" xfId="0">
      <alignment vertical="center"/>
    </xf>
    <xf numFmtId="4" fontId="0" fillId="0" borderId="0" pivotButton="0" quotePrefix="0" xfId="0"/>
    <xf numFmtId="175" fontId="5" fillId="9" borderId="0" applyAlignment="1" pivotButton="0" quotePrefix="0" xfId="0">
      <alignment vertical="center"/>
    </xf>
    <xf numFmtId="175" fontId="9" fillId="0" borderId="0" applyAlignment="1" pivotButton="0" quotePrefix="0" xfId="2">
      <alignment vertical="center"/>
    </xf>
    <xf numFmtId="175" fontId="0" fillId="0" borderId="0" pivotButton="0" quotePrefix="0" xfId="0"/>
    <xf numFmtId="175" fontId="27" fillId="0" borderId="0" applyAlignment="1" pivotButton="0" quotePrefix="0" xfId="2">
      <alignment vertical="center"/>
    </xf>
    <xf numFmtId="175" fontId="29" fillId="0" borderId="0" applyAlignment="1" pivotButton="0" quotePrefix="0" xfId="3">
      <alignment vertical="center"/>
    </xf>
    <xf numFmtId="4" fontId="5" fillId="10" borderId="66" applyAlignment="1" applyProtection="1" pivotButton="0" quotePrefix="0" xfId="2">
      <alignment vertical="center"/>
      <protection locked="0" hidden="0"/>
    </xf>
    <xf numFmtId="4" fontId="9" fillId="0" borderId="0" applyAlignment="1" pivotButton="0" quotePrefix="0" xfId="0">
      <alignment vertical="center"/>
    </xf>
    <xf numFmtId="4" fontId="27" fillId="10" borderId="66" applyAlignment="1" applyProtection="1" pivotButton="0" quotePrefix="0" xfId="2">
      <alignment vertical="center"/>
      <protection locked="0" hidden="0"/>
    </xf>
    <xf numFmtId="4" fontId="27" fillId="10" borderId="68" applyAlignment="1" applyProtection="1" pivotButton="0" quotePrefix="0" xfId="2">
      <alignment vertical="center"/>
      <protection locked="0" hidden="0"/>
    </xf>
    <xf numFmtId="4" fontId="27" fillId="0" borderId="0" applyAlignment="1" pivotButton="0" quotePrefix="0" xfId="2">
      <alignment vertical="center"/>
    </xf>
    <xf numFmtId="175" fontId="33" fillId="0" borderId="0" pivotButton="0" quotePrefix="0" xfId="4"/>
    <xf numFmtId="175" fontId="34" fillId="0" borderId="0" pivotButton="0" quotePrefix="0" xfId="4"/>
    <xf numFmtId="175" fontId="27" fillId="10" borderId="67" applyAlignment="1" applyProtection="1" pivotButton="0" quotePrefix="1" xfId="2">
      <alignment vertical="center"/>
      <protection locked="0" hidden="0"/>
    </xf>
    <xf numFmtId="175" fontId="35" fillId="9" borderId="0" applyAlignment="1" pivotButton="0" quotePrefix="0" xfId="0">
      <alignment vertical="center"/>
    </xf>
    <xf numFmtId="4" fontId="5" fillId="0" borderId="0" applyAlignment="1" pivotButton="0" quotePrefix="0" xfId="2">
      <alignment vertical="center"/>
    </xf>
    <xf numFmtId="4" fontId="27" fillId="10" borderId="66" applyAlignment="1" applyProtection="1" pivotButton="0" quotePrefix="0" xfId="2">
      <alignment horizontal="left" vertical="center"/>
      <protection locked="0" hidden="0"/>
    </xf>
    <xf numFmtId="175" fontId="27" fillId="10" borderId="65" applyAlignment="1" applyProtection="1" pivotButton="0" quotePrefix="0" xfId="2">
      <alignment horizontal="left" vertical="center"/>
      <protection locked="0" hidden="0"/>
    </xf>
    <xf numFmtId="175" fontId="27" fillId="10" borderId="67" applyAlignment="1" applyProtection="1" pivotButton="0" quotePrefix="0" xfId="2">
      <alignment horizontal="left" vertical="center"/>
      <protection locked="0" hidden="0"/>
    </xf>
    <xf numFmtId="4" fontId="5" fillId="10" borderId="66" applyAlignment="1" applyProtection="1" pivotButton="0" quotePrefix="0" xfId="2">
      <alignment horizontal="left" vertical="center"/>
      <protection locked="0" hidden="0"/>
    </xf>
    <xf numFmtId="4" fontId="27" fillId="10" borderId="68" applyAlignment="1" applyProtection="1" pivotButton="0" quotePrefix="0" xfId="2">
      <alignment horizontal="left" vertical="center"/>
      <protection locked="0" hidden="0"/>
    </xf>
    <xf numFmtId="175" fontId="27" fillId="10" borderId="69" applyAlignment="1" applyProtection="1" pivotButton="0" quotePrefix="0" xfId="2">
      <alignment horizontal="left" vertical="center"/>
      <protection locked="0" hidden="0"/>
    </xf>
    <xf numFmtId="4" fontId="4" fillId="10" borderId="61" applyAlignment="1" applyProtection="1" pivotButton="0" quotePrefix="0" xfId="2">
      <alignment horizontal="left" vertical="center"/>
      <protection locked="0" hidden="0"/>
    </xf>
    <xf numFmtId="175" fontId="27" fillId="0" borderId="63" applyAlignment="1" applyProtection="1" pivotButton="0" quotePrefix="0" xfId="2">
      <alignment horizontal="left" vertical="center"/>
      <protection locked="0" hidden="0"/>
    </xf>
    <xf numFmtId="4" fontId="27" fillId="0" borderId="72" applyAlignment="1" applyProtection="1" pivotButton="0" quotePrefix="0" xfId="2">
      <alignment horizontal="left" vertical="center"/>
      <protection locked="0" hidden="0"/>
    </xf>
    <xf numFmtId="4" fontId="4" fillId="10" borderId="78" applyAlignment="1" pivotButton="0" quotePrefix="0" xfId="2">
      <alignment horizontal="left" vertical="center"/>
    </xf>
    <xf numFmtId="175" fontId="36" fillId="0" borderId="0" applyAlignment="1" pivotButton="0" quotePrefix="0" xfId="3">
      <alignment horizontal="left" vertical="center"/>
    </xf>
    <xf numFmtId="175" fontId="36" fillId="0" borderId="0" applyAlignment="1" pivotButton="0" quotePrefix="0" xfId="2">
      <alignment vertical="center"/>
    </xf>
    <xf numFmtId="175" fontId="36" fillId="0" borderId="0" applyAlignment="1" pivotButton="0" quotePrefix="0" xfId="3">
      <alignment vertical="center"/>
    </xf>
    <xf numFmtId="175" fontId="27" fillId="10" borderId="65" applyAlignment="1" applyProtection="1" pivotButton="0" quotePrefix="1" xfId="2">
      <alignment vertical="center"/>
      <protection locked="0" hidden="0"/>
    </xf>
    <xf numFmtId="175" fontId="37" fillId="9" borderId="0" applyAlignment="1" pivotButton="0" quotePrefix="0" xfId="0">
      <alignment vertical="center"/>
    </xf>
    <xf numFmtId="175" fontId="33" fillId="0" borderId="0" pivotButton="0" quotePrefix="0" xfId="0"/>
    <xf numFmtId="4" fontId="33" fillId="0" borderId="0" pivotButton="0" quotePrefix="0" xfId="0"/>
    <xf numFmtId="4" fontId="9" fillId="0" borderId="0" pivotButton="0" quotePrefix="1" xfId="0"/>
    <xf numFmtId="175" fontId="9" fillId="0" borderId="0" pivotButton="0" quotePrefix="0" xfId="5"/>
    <xf numFmtId="0" fontId="48" fillId="0" borderId="135" pivotButton="0" quotePrefix="0" xfId="0"/>
  </cellXfs>
  <cellStyles count="7">
    <cellStyle name="Normal" xfId="0" builtinId="0"/>
    <cellStyle name="Hyperlink" xfId="1" builtinId="8"/>
    <cellStyle name="Comma" xfId="2" builtinId="3"/>
    <cellStyle name="Comma [0]" xfId="3" builtinId="6"/>
    <cellStyle name="Normal 2" xfId="4"/>
    <cellStyle name="Comma 2" xfId="5"/>
    <cellStyle name="Followed Hyperlink" xfId="6" builtinId="9" hidden="1"/>
  </cellStyles>
  <dxfs count="644">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Author</author>
  </authors>
  <commentList>
    <comment ref="F5" authorId="0" shapeId="0">
      <text>
        <t>Please fill in this cell. All other sheets adjust their dates automatically.</t>
      </text>
    </comment>
  </commentList>
</comments>
</file>

<file path=xl/comments/comment2.xml><?xml version="1.0" encoding="utf-8"?>
<comments xmlns="http://schemas.openxmlformats.org/spreadsheetml/2006/main">
  <authors>
    <author>Author</author>
  </authors>
  <commentList>
    <comment ref="B2" authorId="0" shapeId="0">
      <text>
        <t>Light grey cells - do not change!</t>
      </text>
    </comment>
  </commentList>
</comments>
</file>

<file path=xl/comments/comment3.xml><?xml version="1.0" encoding="utf-8"?>
<comments xmlns="http://schemas.openxmlformats.org/spreadsheetml/2006/main">
  <authors>
    <author>Author</author>
  </authors>
  <commentList>
    <comment ref="B2" authorId="0" shapeId="0">
      <text>
        <t>Light grey cells - do not change!</t>
      </text>
    </comment>
  </commentList>
</comments>
</file>

<file path=xl/comments/comment4.xml><?xml version="1.0" encoding="utf-8"?>
<comments xmlns="http://schemas.openxmlformats.org/spreadsheetml/2006/main">
  <authors>
    <author>Author</author>
  </authors>
  <commentList>
    <comment ref="B2" authorId="0" shapeId="0">
      <text>
        <t>Light grey cells - do not change!</t>
      </text>
    </comment>
  </commentList>
</comments>
</file>

<file path=xl/comments/comment5.xml><?xml version="1.0" encoding="utf-8"?>
<comments xmlns="http://schemas.openxmlformats.org/spreadsheetml/2006/main">
  <authors>
    <author>Author</author>
  </authors>
  <commentList>
    <comment ref="B2" authorId="0" shapeId="0">
      <text>
        <t>Light grey cells - do not change!</t>
      </text>
    </comment>
  </commentList>
</comments>
</file>

<file path=xl/comments/comment6.xml><?xml version="1.0" encoding="utf-8"?>
<comments xmlns="http://schemas.openxmlformats.org/spreadsheetml/2006/main">
  <authors>
    <author>Author</author>
  </authors>
  <commentList>
    <comment ref="B2" authorId="0" shapeId="0">
      <text>
        <t>Light grey cells - do not change!</t>
      </text>
    </comment>
  </commentList>
</comments>
</file>

<file path=xl/comments/comment7.xml><?xml version="1.0" encoding="utf-8"?>
<comments xmlns="http://schemas.openxmlformats.org/spreadsheetml/2006/main">
  <authors>
    <author>Author</author>
  </authors>
  <commentList>
    <comment ref="B2" authorId="0" shapeId="0">
      <text>
        <t>Light grey cells - do not change!</t>
      </text>
    </comment>
  </commentList>
</comments>
</file>

<file path=xl/comments/comment8.xml><?xml version="1.0" encoding="utf-8"?>
<comments xmlns="http://schemas.openxmlformats.org/spreadsheetml/2006/main">
  <authors>
    <author>Author</author>
  </authors>
  <commentList>
    <comment ref="B2" authorId="0" shapeId="0">
      <text>
        <t>Light grey cells - do not change!</t>
      </text>
    </comment>
  </commentList>
</comments>
</file>

<file path=xl/comments/comment9.xml><?xml version="1.0" encoding="utf-8"?>
<comments xmlns="http://schemas.openxmlformats.org/spreadsheetml/2006/main">
  <authors>
    <author>Author</author>
  </authors>
  <commentList>
    <comment ref="B2" authorId="0" shapeId="0">
      <text>
        <t>Light grey cells - do not change!</t>
      </text>
    </comment>
  </commentList>
</comments>
</file>

<file path=xl/comments/comment10.xml><?xml version="1.0" encoding="utf-8"?>
<comments xmlns="http://schemas.openxmlformats.org/spreadsheetml/2006/main">
  <authors>
    <author>Author</author>
  </authors>
  <commentList>
    <comment ref="B2" authorId="0" shapeId="0">
      <text>
        <t>Light grey cells - do not change!</t>
      </text>
    </comment>
  </commentList>
</comments>
</file>

<file path=xl/comments/comment11.xml><?xml version="1.0" encoding="utf-8"?>
<comments xmlns="http://schemas.openxmlformats.org/spreadsheetml/2006/main">
  <authors>
    <author>Author</author>
  </authors>
  <commentList>
    <comment ref="B2" authorId="0" shapeId="0">
      <text>
        <t>Light grey cells - do not change!</t>
      </text>
    </comment>
  </commentList>
</comments>
</file>

<file path=xl/comments/comment12.xml><?xml version="1.0" encoding="utf-8"?>
<comments xmlns="http://schemas.openxmlformats.org/spreadsheetml/2006/main">
  <authors>
    <author>Author</author>
  </authors>
  <commentList>
    <comment ref="B2" authorId="0" shapeId="0">
      <text>
        <t>Light grey cells - do not change!</t>
      </text>
    </comment>
  </commentList>
</comments>
</file>

<file path=xl/comments/comment13.xml><?xml version="1.0" encoding="utf-8"?>
<comments xmlns="http://schemas.openxmlformats.org/spreadsheetml/2006/main">
  <authors>
    <author>Author</author>
  </authors>
  <commentList>
    <comment ref="B2" authorId="0" shapeId="0">
      <text>
        <t>Light grey cells - do not change!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tabColor indexed="12"/>
    <outlinePr summaryBelow="1" summaryRight="1"/>
    <pageSetUpPr/>
  </sheetPr>
  <dimension ref="B2:IV126"/>
  <sheetViews>
    <sheetView showGridLines="0" tabSelected="1" zoomScale="80" workbookViewId="0">
      <selection activeCell="S45" sqref="S45"/>
    </sheetView>
  </sheetViews>
  <sheetFormatPr baseColWidth="8" defaultColWidth="8.90625" defaultRowHeight="13"/>
  <cols>
    <col width="1.08984375" customWidth="1" style="304" min="1" max="1"/>
    <col width="30" customWidth="1" style="304" min="2" max="2"/>
    <col width="11.08984375" customWidth="1" style="304" min="3" max="3"/>
    <col width="9.7265625" customWidth="1" style="304" min="4" max="4"/>
    <col width="8.6328125" customWidth="1" style="304" min="5" max="8"/>
    <col width="7.6328125" customWidth="1" style="304" min="9" max="9"/>
    <col width="9.26953125" customWidth="1" style="304" min="10" max="10"/>
    <col width="8.6328125" customWidth="1" style="304" min="11" max="12"/>
    <col width="11.453125" customWidth="1" style="304" min="13" max="13"/>
    <col width="8.6328125" customWidth="1" style="304" min="14" max="14"/>
    <col width="17.36328125" customWidth="1" style="304" min="15" max="15"/>
    <col width="24.26953125" customWidth="1" style="304" min="16" max="16"/>
    <col width="8.90625" customWidth="1" style="304" min="17" max="17"/>
    <col width="32" customWidth="1" style="304" min="18" max="18"/>
    <col width="9.08984375" customWidth="1" style="304" min="19" max="19"/>
    <col width="9" customWidth="1" style="304" min="20" max="29"/>
    <col width="8.90625" customWidth="1" style="304" min="30" max="32"/>
    <col width="8.90625" customWidth="1" style="304" min="33" max="16384"/>
  </cols>
  <sheetData>
    <row r="1" ht="15.75" customHeight="1" s="304"/>
    <row r="2" ht="15.5" customHeight="1" s="304">
      <c r="B2" s="300" t="inlineStr">
        <is>
          <t>Family Book v2.1 by SkybatanX: a yearly family income &amp; expense book run by your personal Grok Bot.
The bot logs spending from receipts. Card and bank statements are optional, and the book works with none.
Each month keeps the number grid, then a Transactions section and a Receipts section. The same purchase is never added twice.
The book can live in Google Sheets, Excel Online, or an Excel file on your computer. Excel does not have to be installed.
Follow @SkyXFunNext on X for more templates and fun!</t>
        </is>
      </c>
      <c r="C2" s="301" t="n"/>
      <c r="D2" s="301" t="n"/>
      <c r="E2" s="301" t="n"/>
      <c r="F2" s="301" t="n"/>
      <c r="G2" s="301" t="n"/>
      <c r="H2" s="301" t="n"/>
      <c r="I2" s="301" t="n"/>
      <c r="J2" s="301" t="n"/>
      <c r="K2" s="301" t="n"/>
      <c r="L2" s="301" t="n"/>
      <c r="M2" s="301" t="n"/>
      <c r="N2" s="301" t="n"/>
      <c r="O2" s="301" t="n"/>
      <c r="P2" s="302" t="n"/>
      <c r="Q2" s="63" t="n"/>
    </row>
    <row r="3" ht="15.5" customHeight="1" s="304">
      <c r="B3" s="303" t="n"/>
      <c r="P3" s="305" t="n"/>
      <c r="Q3" s="63" t="n"/>
    </row>
    <row r="4" ht="15.75" customHeight="1" s="304">
      <c r="B4" s="306" t="n"/>
      <c r="C4" s="299" t="n"/>
      <c r="D4" s="299" t="n"/>
      <c r="E4" s="299" t="n"/>
      <c r="F4" s="299" t="n"/>
      <c r="G4" s="299" t="n"/>
      <c r="H4" s="299" t="n"/>
      <c r="I4" s="299" t="n"/>
      <c r="J4" s="299" t="n"/>
      <c r="K4" s="299" t="n"/>
      <c r="L4" s="299" t="n"/>
      <c r="M4" s="299" t="n"/>
      <c r="N4" s="299" t="n"/>
      <c r="O4" s="299" t="n"/>
      <c r="P4" s="307" t="n"/>
      <c r="Q4" s="63" t="n"/>
    </row>
    <row r="5" ht="15.75" customHeight="1" s="304">
      <c r="B5" s="308" t="inlineStr">
        <is>
          <t>Enter year</t>
        </is>
      </c>
      <c r="C5" s="309" t="n"/>
      <c r="D5" s="309" t="n"/>
      <c r="E5" s="310" t="n"/>
      <c r="F5" s="64" t="n"/>
      <c r="G5" s="63" t="n"/>
      <c r="H5" s="63" t="n"/>
      <c r="I5" s="63" t="n"/>
      <c r="J5" s="63" t="n"/>
      <c r="K5" s="63" t="n"/>
      <c r="L5" s="63" t="n"/>
      <c r="M5" s="63" t="n"/>
      <c r="N5" s="63" t="n"/>
      <c r="O5" s="63" t="n"/>
      <c r="P5" s="63" t="n"/>
      <c r="Q5" s="63" t="n"/>
    </row>
    <row r="6" ht="15.75" customHeight="1" s="304">
      <c r="J6" s="63" t="n"/>
      <c r="K6" s="63" t="n"/>
      <c r="L6" s="63" t="n"/>
      <c r="M6" s="63" t="n"/>
      <c r="N6" s="63" t="n"/>
      <c r="O6" s="63" t="n"/>
      <c r="P6" s="63" t="n"/>
      <c r="Q6" s="63" t="n"/>
    </row>
    <row r="7" ht="15.75" customHeight="1" s="304">
      <c r="B7" s="65" t="inlineStr">
        <is>
          <t>Monthly Totals</t>
        </is>
      </c>
      <c r="C7" s="66" t="n"/>
    </row>
    <row r="8" ht="15.75" customHeight="1" s="304">
      <c r="B8" s="67" t="n"/>
      <c r="C8" s="270" t="inlineStr">
        <is>
          <t>Jan</t>
        </is>
      </c>
      <c r="D8" s="270" t="inlineStr">
        <is>
          <t>Feb</t>
        </is>
      </c>
      <c r="E8" s="270" t="inlineStr">
        <is>
          <t>Mar</t>
        </is>
      </c>
      <c r="F8" s="270" t="inlineStr">
        <is>
          <t>Apr</t>
        </is>
      </c>
      <c r="G8" s="270" t="inlineStr">
        <is>
          <t>May</t>
        </is>
      </c>
      <c r="H8" s="270" t="inlineStr">
        <is>
          <t>Jun</t>
        </is>
      </c>
      <c r="I8" s="270" t="inlineStr">
        <is>
          <t>Jul</t>
        </is>
      </c>
      <c r="J8" s="270" t="inlineStr">
        <is>
          <t>Aug</t>
        </is>
      </c>
      <c r="K8" s="270" t="inlineStr">
        <is>
          <t>Sep</t>
        </is>
      </c>
      <c r="L8" s="270" t="inlineStr">
        <is>
          <t>Oct</t>
        </is>
      </c>
      <c r="M8" s="270" t="inlineStr">
        <is>
          <t>Nov</t>
        </is>
      </c>
      <c r="N8" s="270" t="inlineStr">
        <is>
          <t>Dec</t>
        </is>
      </c>
      <c r="O8" s="68" t="inlineStr">
        <is>
          <t>Annual Total</t>
        </is>
      </c>
    </row>
    <row r="9" ht="15.75" customHeight="1" s="304">
      <c r="B9" s="69" t="inlineStr">
        <is>
          <t>Monthly Balance</t>
        </is>
      </c>
      <c r="C9" s="271">
        <f>Jan!$F$18</f>
        <v/>
      </c>
      <c r="D9" s="272">
        <f>Feb!$F$18</f>
        <v/>
      </c>
      <c r="E9" s="272">
        <f>Mar!$F$18</f>
        <v/>
      </c>
      <c r="F9" s="272">
        <f>Apr!$F$18</f>
        <v/>
      </c>
      <c r="G9" s="272">
        <f>May!$F$18</f>
        <v/>
      </c>
      <c r="H9" s="272">
        <f>Jun!$F$18</f>
        <v/>
      </c>
      <c r="I9" s="272">
        <f>Jul!$F$18</f>
        <v/>
      </c>
      <c r="J9" s="272">
        <f>Aug!$F$18</f>
        <v/>
      </c>
      <c r="K9" s="272">
        <f>Sep!$F$18</f>
        <v/>
      </c>
      <c r="L9" s="272">
        <f>Oct!$F$18</f>
        <v/>
      </c>
      <c r="M9" s="272">
        <f>Nov!$F$18</f>
        <v/>
      </c>
      <c r="N9" s="272">
        <f>Dec!$F$18</f>
        <v/>
      </c>
      <c r="O9" s="273">
        <f>SUM(C9:N9)</f>
        <v/>
      </c>
    </row>
    <row r="10">
      <c r="C10" s="274" t="n"/>
    </row>
    <row r="11" ht="15.75" customHeight="1" s="304">
      <c r="B11" s="65" t="inlineStr">
        <is>
          <t>Expenses by Category</t>
        </is>
      </c>
      <c r="C11" s="298" t="inlineStr">
        <is>
          <t>CAD</t>
        </is>
      </c>
      <c r="D11" s="299" t="n"/>
      <c r="E11" s="299" t="n"/>
      <c r="F11" s="299" t="n"/>
      <c r="G11" s="299" t="n"/>
      <c r="H11" s="299" t="n"/>
      <c r="I11" s="299" t="n"/>
      <c r="J11" s="299" t="n"/>
      <c r="K11" s="299" t="n"/>
      <c r="L11" s="299" t="n"/>
      <c r="M11" s="299" t="n"/>
      <c r="N11" s="299" t="n"/>
    </row>
    <row r="12" ht="15.75" customHeight="1" s="304">
      <c r="B12" s="70" t="inlineStr">
        <is>
          <t>Item</t>
        </is>
      </c>
      <c r="C12" s="275" t="inlineStr">
        <is>
          <t>Jan</t>
        </is>
      </c>
      <c r="D12" s="270" t="inlineStr">
        <is>
          <t>Feb</t>
        </is>
      </c>
      <c r="E12" s="270" t="inlineStr">
        <is>
          <t>Mar</t>
        </is>
      </c>
      <c r="F12" s="270" t="inlineStr">
        <is>
          <t>Apr</t>
        </is>
      </c>
      <c r="G12" s="270" t="inlineStr">
        <is>
          <t>May</t>
        </is>
      </c>
      <c r="H12" s="270" t="inlineStr">
        <is>
          <t>Jun</t>
        </is>
      </c>
      <c r="I12" s="270" t="inlineStr">
        <is>
          <t>Jul</t>
        </is>
      </c>
      <c r="J12" s="270" t="inlineStr">
        <is>
          <t>Aug</t>
        </is>
      </c>
      <c r="K12" s="270" t="inlineStr">
        <is>
          <t>Sep</t>
        </is>
      </c>
      <c r="L12" s="270" t="inlineStr">
        <is>
          <t>Oct</t>
        </is>
      </c>
      <c r="M12" s="270" t="inlineStr">
        <is>
          <t>Nov</t>
        </is>
      </c>
      <c r="N12" s="276" t="inlineStr">
        <is>
          <t>Dec</t>
        </is>
      </c>
      <c r="O12" s="71" t="inlineStr">
        <is>
          <t>Annual Total</t>
        </is>
      </c>
      <c r="P12" s="72" t="inlineStr">
        <is>
          <t>Share of Expenses</t>
        </is>
      </c>
    </row>
    <row r="13">
      <c r="B13" s="73" t="inlineStr">
        <is>
          <t>Food (Meals)</t>
        </is>
      </c>
      <c r="C13" s="277">
        <f>Jan!$G$8-C14</f>
        <v/>
      </c>
      <c r="D13" s="278">
        <f>Feb!$G$8-D14</f>
        <v/>
      </c>
      <c r="E13" s="278">
        <f>Mar!$G$8-E14</f>
        <v/>
      </c>
      <c r="F13" s="278">
        <f>Apr!$G$8-F14</f>
        <v/>
      </c>
      <c r="G13" s="278">
        <f>May!$G$8-G14</f>
        <v/>
      </c>
      <c r="H13" s="278">
        <f>Jun!$G$8-H14</f>
        <v/>
      </c>
      <c r="I13" s="278">
        <f>Jul!$G$8-I14</f>
        <v/>
      </c>
      <c r="J13" s="278">
        <f>Aug!$G$8-J14</f>
        <v/>
      </c>
      <c r="K13" s="278">
        <f>Sep!$G$8-K14</f>
        <v/>
      </c>
      <c r="L13" s="278">
        <f>Oct!$G$8-L14</f>
        <v/>
      </c>
      <c r="M13" s="278">
        <f>Nov!$G$8-M14</f>
        <v/>
      </c>
      <c r="N13" s="279">
        <f>Dec!$G$8-N14</f>
        <v/>
      </c>
      <c r="O13" s="280">
        <f>SUM(C13:N13)</f>
        <v/>
      </c>
      <c r="P13" s="74">
        <f>IF(ISERROR(O13/SUM($O$13:$O$37)),"%",O13/SUM($O$13:$O$37))</f>
        <v/>
      </c>
    </row>
    <row r="14">
      <c r="B14" s="73" t="inlineStr">
        <is>
          <t>Snacks &amp; Groceries</t>
        </is>
      </c>
      <c r="C14" s="277">
        <f>SUM(Jan!$J$17:$BS$19)</f>
        <v/>
      </c>
      <c r="D14" s="278">
        <f>SUM(Feb!$J$17:$BS$19)</f>
        <v/>
      </c>
      <c r="E14" s="278">
        <f>SUM(Mar!$J$17:$BS$19)</f>
        <v/>
      </c>
      <c r="F14" s="278">
        <f>SUM(Apr!$J$17:$BS$19)</f>
        <v/>
      </c>
      <c r="G14" s="278">
        <f>SUM(May!$J$17:$BS$19)</f>
        <v/>
      </c>
      <c r="H14" s="278">
        <f>SUM(Jun!$J$17:$BS$19)</f>
        <v/>
      </c>
      <c r="I14" s="278">
        <f>SUM(Jul!$J$17:$BS$19)</f>
        <v/>
      </c>
      <c r="J14" s="278">
        <f>SUM(Aug!$J$17:$BS$19)</f>
        <v/>
      </c>
      <c r="K14" s="278">
        <f>SUM(Sep!$J$17:$BS$19)</f>
        <v/>
      </c>
      <c r="L14" s="278">
        <f>SUM(Oct!$J$17:$BS$19)</f>
        <v/>
      </c>
      <c r="M14" s="278">
        <f>SUM(Nov!$J$17:$BS$19)</f>
        <v/>
      </c>
      <c r="N14" s="279">
        <f>SUM(Dec!$J$17:$BS$19)</f>
        <v/>
      </c>
      <c r="O14" s="281">
        <f>SUM(C14:N14)</f>
        <v/>
      </c>
      <c r="P14" s="74">
        <f>IF(ISERROR(O14/SUM($O$13:$O$37)),"%",O14/SUM($O$13:$O$37))</f>
        <v/>
      </c>
    </row>
    <row r="15">
      <c r="B15" s="73" t="inlineStr">
        <is>
          <t>Household Goods</t>
        </is>
      </c>
      <c r="C15" s="282">
        <f>Jan!$G$9</f>
        <v/>
      </c>
      <c r="D15" s="283">
        <f>Feb!$G$9</f>
        <v/>
      </c>
      <c r="E15" s="283">
        <f>Mar!$G$9</f>
        <v/>
      </c>
      <c r="F15" s="283">
        <f>Apr!$G$9</f>
        <v/>
      </c>
      <c r="G15" s="283">
        <f>May!$G$9</f>
        <v/>
      </c>
      <c r="H15" s="283">
        <f>Jun!$G$9</f>
        <v/>
      </c>
      <c r="I15" s="283">
        <f>Jul!$G$9</f>
        <v/>
      </c>
      <c r="J15" s="283">
        <f>Aug!$G$9</f>
        <v/>
      </c>
      <c r="K15" s="283">
        <f>Sep!$G$9</f>
        <v/>
      </c>
      <c r="L15" s="283">
        <f>Oct!$G$9</f>
        <v/>
      </c>
      <c r="M15" s="283">
        <f>Nov!$G$9</f>
        <v/>
      </c>
      <c r="N15" s="284">
        <f>Dec!$G$9</f>
        <v/>
      </c>
      <c r="O15" s="281">
        <f>SUM(C15:N15)</f>
        <v/>
      </c>
      <c r="P15" s="74">
        <f>IF(ISERROR(O15/SUM($O$13:$O$37)),"%",O15/SUM($O$13:$O$37))</f>
        <v/>
      </c>
    </row>
    <row r="16">
      <c r="B16" s="73" t="inlineStr">
        <is>
          <t>Education &amp; Enrichment</t>
        </is>
      </c>
      <c r="C16" s="282">
        <f>Jan!$G$10</f>
        <v/>
      </c>
      <c r="D16" s="283">
        <f>Feb!$G$10</f>
        <v/>
      </c>
      <c r="E16" s="283">
        <f>Mar!$G$10</f>
        <v/>
      </c>
      <c r="F16" s="283">
        <f>Apr!$G$10</f>
        <v/>
      </c>
      <c r="G16" s="283">
        <f>May!$G$10</f>
        <v/>
      </c>
      <c r="H16" s="283">
        <f>Jun!$G$10</f>
        <v/>
      </c>
      <c r="I16" s="283">
        <f>Jul!$G$10</f>
        <v/>
      </c>
      <c r="J16" s="283">
        <f>Aug!$G$10</f>
        <v/>
      </c>
      <c r="K16" s="283">
        <f>Sep!$G$10</f>
        <v/>
      </c>
      <c r="L16" s="283">
        <f>Oct!$G$10</f>
        <v/>
      </c>
      <c r="M16" s="283">
        <f>Nov!$G$10</f>
        <v/>
      </c>
      <c r="N16" s="284">
        <f>Dec!$G$10</f>
        <v/>
      </c>
      <c r="O16" s="281">
        <f>SUM(C16:N16)</f>
        <v/>
      </c>
      <c r="P16" s="74">
        <f>IF(ISERROR(O16/SUM($O$13:$O$37)),"%",O16/SUM($O$13:$O$37))</f>
        <v/>
      </c>
      <c r="Q16" s="81" t="n"/>
    </row>
    <row r="17">
      <c r="B17" s="73" t="inlineStr">
        <is>
          <t>Fuel</t>
        </is>
      </c>
      <c r="C17" s="282">
        <f>SUM(Jan!$J$29:$BS$29)</f>
        <v/>
      </c>
      <c r="D17" s="283">
        <f>SUM(Feb!$J$29:$BS$29)</f>
        <v/>
      </c>
      <c r="E17" s="283">
        <f>SUM(Mar!$J$29:$BS$29)</f>
        <v/>
      </c>
      <c r="F17" s="283">
        <f>SUM(Apr!$J$29:$BS$29)</f>
        <v/>
      </c>
      <c r="G17" s="283">
        <f>SUM(May!$J$29:$BS$29)</f>
        <v/>
      </c>
      <c r="H17" s="283">
        <f>SUM(Jun!$J$29:$BS$29)</f>
        <v/>
      </c>
      <c r="I17" s="283">
        <f>SUM(Jul!$J$29:$BS$29)</f>
        <v/>
      </c>
      <c r="J17" s="283">
        <f>SUM(Aug!$J$29:$BS$29)</f>
        <v/>
      </c>
      <c r="K17" s="283">
        <f>SUM(Sep!$J$29:$BS$29)</f>
        <v/>
      </c>
      <c r="L17" s="283">
        <f>SUM(Oct!$J$29:$BS$29)</f>
        <v/>
      </c>
      <c r="M17" s="283">
        <f>SUM(Nov!$J$29:$BS$29)</f>
        <v/>
      </c>
      <c r="N17" s="284">
        <f>SUM(Dec!$J$29:$BS$29)</f>
        <v/>
      </c>
      <c r="O17" s="281">
        <f>SUM(C17:N17)</f>
        <v/>
      </c>
      <c r="P17" s="74">
        <f>IF(ISERROR(O17/SUM($O$13:$O$37)),"%",O17/SUM($O$13:$O$37))</f>
        <v/>
      </c>
      <c r="Q17" s="81" t="n"/>
    </row>
    <row r="18" ht="15.5" customHeight="1" s="304">
      <c r="B18" s="73" t="inlineStr">
        <is>
          <t>Clothing</t>
        </is>
      </c>
      <c r="C18" s="282">
        <f>SUM(Jan!J30:BS31)</f>
        <v/>
      </c>
      <c r="D18" s="283">
        <f>SUM(Feb!K30:BS31)</f>
        <v/>
      </c>
      <c r="E18" s="283">
        <f>SUM(Mar!K30:BS31)</f>
        <v/>
      </c>
      <c r="F18" s="283">
        <f>SUM(Apr!K30:BS31)</f>
        <v/>
      </c>
      <c r="G18" s="283">
        <f>SUM(May!K30:BS31)</f>
        <v/>
      </c>
      <c r="H18" s="283">
        <f>SUM(Jun!K30:BS31)</f>
        <v/>
      </c>
      <c r="I18" s="283">
        <f>SUM(Jul!K30:BS31)</f>
        <v/>
      </c>
      <c r="J18" s="283">
        <f>SUM(Aug!K30:BS31)</f>
        <v/>
      </c>
      <c r="K18" s="283">
        <f>SUM(Sep!K30:BS31)</f>
        <v/>
      </c>
      <c r="L18" s="283">
        <f>SUM(Oct!K30:BS31)</f>
        <v/>
      </c>
      <c r="M18" s="283">
        <f>SUM(Nov!K30:BS31)</f>
        <v/>
      </c>
      <c r="N18" s="284">
        <f>SUM(Dec!K30:BS31)</f>
        <v/>
      </c>
      <c r="O18" s="281">
        <f>SUM(C18:N18)</f>
        <v/>
      </c>
      <c r="P18" s="74">
        <f>IF(ISERROR(O18/SUM($O$13:$O$37)),"%",O18/SUM($O$13:$O$37))</f>
        <v/>
      </c>
    </row>
    <row r="19" ht="15.5" customHeight="1" s="304">
      <c r="B19" s="73" t="inlineStr">
        <is>
          <t>Medical</t>
        </is>
      </c>
      <c r="C19" s="282">
        <f>SUM(Jan!J32:BS32)</f>
        <v/>
      </c>
      <c r="D19" s="283">
        <f>SUM(Feb!K32:BS32)</f>
        <v/>
      </c>
      <c r="E19" s="283">
        <f>SUM(Mar!K32:BS32)</f>
        <v/>
      </c>
      <c r="F19" s="283">
        <f>SUM(Apr!K32:BS32)</f>
        <v/>
      </c>
      <c r="G19" s="283">
        <f>SUM(May!K32:BS32)</f>
        <v/>
      </c>
      <c r="H19" s="283">
        <f>SUM(Jun!K32:BS32)</f>
        <v/>
      </c>
      <c r="I19" s="283">
        <f>SUM(Jul!K32:BS32)</f>
        <v/>
      </c>
      <c r="J19" s="283">
        <f>SUM(Aug!K32:BS32)</f>
        <v/>
      </c>
      <c r="K19" s="283">
        <f>SUM(Sep!K32:BS32)</f>
        <v/>
      </c>
      <c r="L19" s="283">
        <f>SUM(Oct!K32:BS32)</f>
        <v/>
      </c>
      <c r="M19" s="283">
        <f>SUM(Nov!K32:BS32)</f>
        <v/>
      </c>
      <c r="N19" s="284">
        <f>SUM(Dec!K32:BS32)</f>
        <v/>
      </c>
      <c r="O19" s="281">
        <f>SUM(C19:N19)</f>
        <v/>
      </c>
      <c r="P19" s="74">
        <f>IF(ISERROR(O19/SUM($O$13:$O$37)),"%",O19/SUM($O$13:$O$37))</f>
        <v/>
      </c>
    </row>
    <row r="20" ht="15.5" customHeight="1" s="304">
      <c r="B20" s="73" t="inlineStr">
        <is>
          <t>Hair &amp; Cosmetics</t>
        </is>
      </c>
      <c r="C20" s="282">
        <f>SUM(Jan!J33:BS33)</f>
        <v/>
      </c>
      <c r="D20" s="283">
        <f>SUM(Feb!K33:BS33)</f>
        <v/>
      </c>
      <c r="E20" s="283">
        <f>SUM(Mar!K33:BS33)</f>
        <v/>
      </c>
      <c r="F20" s="283">
        <f>SUM(Apr!K33:BS33)</f>
        <v/>
      </c>
      <c r="G20" s="283">
        <f>SUM(May!K33:BS33)</f>
        <v/>
      </c>
      <c r="H20" s="283">
        <f>SUM(Jun!K33:BS33)</f>
        <v/>
      </c>
      <c r="I20" s="283">
        <f>SUM(Jul!K33:BS33)</f>
        <v/>
      </c>
      <c r="J20" s="283">
        <f>SUM(Aug!K33:BS33)</f>
        <v/>
      </c>
      <c r="K20" s="283">
        <f>SUM(Sep!K33:BS33)</f>
        <v/>
      </c>
      <c r="L20" s="283">
        <f>SUM(Oct!K33:BS33)</f>
        <v/>
      </c>
      <c r="M20" s="283">
        <f>SUM(Nov!K33:BS33)</f>
        <v/>
      </c>
      <c r="N20" s="284">
        <f>SUM(Dec!K33:BS33)</f>
        <v/>
      </c>
      <c r="O20" s="281">
        <f>SUM(C20:N20)</f>
        <v/>
      </c>
      <c r="P20" s="74">
        <f>IF(ISERROR(O20/SUM($O$13:$O$37)),"%",O20/SUM($O$13:$O$37))</f>
        <v/>
      </c>
    </row>
    <row r="21" ht="15.5" customHeight="1" s="304">
      <c r="B21" s="73" t="inlineStr">
        <is>
          <t>Transportation</t>
        </is>
      </c>
      <c r="C21" s="282">
        <f>SUM(Jan!J34:BS34)</f>
        <v/>
      </c>
      <c r="D21" s="283">
        <f>SUM(Feb!K34:BS34)</f>
        <v/>
      </c>
      <c r="E21" s="283">
        <f>SUM(Mar!K34:BS34)</f>
        <v/>
      </c>
      <c r="F21" s="283">
        <f>SUM(Apr!K34:BS34)</f>
        <v/>
      </c>
      <c r="G21" s="283">
        <f>SUM(May!K34:BS34)</f>
        <v/>
      </c>
      <c r="H21" s="283">
        <f>SUM(Jun!K34:BS34)</f>
        <v/>
      </c>
      <c r="I21" s="283">
        <f>SUM(Jul!K34:BS34)</f>
        <v/>
      </c>
      <c r="J21" s="283">
        <f>SUM(Aug!K34:BS34)</f>
        <v/>
      </c>
      <c r="K21" s="283">
        <f>SUM(Sep!K34:BS34)</f>
        <v/>
      </c>
      <c r="L21" s="283">
        <f>SUM(Oct!K34:BS34)</f>
        <v/>
      </c>
      <c r="M21" s="283">
        <f>SUM(Nov!K34:BS34)</f>
        <v/>
      </c>
      <c r="N21" s="284">
        <f>SUM(Dec!K34:BS34)</f>
        <v/>
      </c>
      <c r="O21" s="281">
        <f>SUM(C21:N21)</f>
        <v/>
      </c>
      <c r="P21" s="74">
        <f>IF(ISERROR(O21/SUM($O$13:$O$37)),"%",O21/SUM($O$13:$O$37))</f>
        <v/>
      </c>
    </row>
    <row r="22" ht="15.5" customHeight="1" s="304">
      <c r="B22" s="73" t="inlineStr">
        <is>
          <t>Entertainment</t>
        </is>
      </c>
      <c r="C22" s="282">
        <f>SUM(Jan!J35:BS35)</f>
        <v/>
      </c>
      <c r="D22" s="283">
        <f>SUM(Feb!K35:BS35)</f>
        <v/>
      </c>
      <c r="E22" s="283">
        <f>SUM(Mar!K35:BS35)</f>
        <v/>
      </c>
      <c r="F22" s="283">
        <f>SUM(Apr!K35:BS35)</f>
        <v/>
      </c>
      <c r="G22" s="283">
        <f>SUM(May!K35:BS35)</f>
        <v/>
      </c>
      <c r="H22" s="283">
        <f>SUM(Jun!K35:BS35)</f>
        <v/>
      </c>
      <c r="I22" s="283">
        <f>SUM(Jul!K35:BS35)</f>
        <v/>
      </c>
      <c r="J22" s="283">
        <f>SUM(Aug!K35:BS35)</f>
        <v/>
      </c>
      <c r="K22" s="283">
        <f>SUM(Sep!K35:BS35)</f>
        <v/>
      </c>
      <c r="L22" s="283">
        <f>SUM(Oct!K35:BS35)</f>
        <v/>
      </c>
      <c r="M22" s="283">
        <f>SUM(Nov!K35:BS35)</f>
        <v/>
      </c>
      <c r="N22" s="284">
        <f>SUM(Dec!K35:BS35)</f>
        <v/>
      </c>
      <c r="O22" s="281">
        <f>SUM(C22:N22)</f>
        <v/>
      </c>
      <c r="P22" s="74">
        <f>IF(ISERROR(O22/SUM($O$13:$O$37)),"%",O22/SUM($O$13:$O$37))</f>
        <v/>
      </c>
    </row>
    <row r="23" ht="15.5" customHeight="1" s="304">
      <c r="B23" s="73" t="inlineStr">
        <is>
          <t>Gifts &amp; Social</t>
        </is>
      </c>
      <c r="C23" s="282">
        <f>SUM(Jan!J36:BS36)</f>
        <v/>
      </c>
      <c r="D23" s="283">
        <f>SUM(Feb!K36:BS36)</f>
        <v/>
      </c>
      <c r="E23" s="283">
        <f>SUM(Mar!K36:BS36)</f>
        <v/>
      </c>
      <c r="F23" s="283">
        <f>SUM(Apr!K36:BS36)</f>
        <v/>
      </c>
      <c r="G23" s="283">
        <f>SUM(May!K36:BS36)</f>
        <v/>
      </c>
      <c r="H23" s="283">
        <f>SUM(Jun!K36:BS36)</f>
        <v/>
      </c>
      <c r="I23" s="283">
        <f>SUM(Jul!K36:BS36)</f>
        <v/>
      </c>
      <c r="J23" s="283">
        <f>SUM(Aug!K36:BS36)</f>
        <v/>
      </c>
      <c r="K23" s="283">
        <f>SUM(Sep!K36:BS36)</f>
        <v/>
      </c>
      <c r="L23" s="283">
        <f>SUM(Oct!K36:BS36)</f>
        <v/>
      </c>
      <c r="M23" s="283">
        <f>SUM(Nov!K36:BS36)</f>
        <v/>
      </c>
      <c r="N23" s="284">
        <f>SUM(Dec!K36:BS36)</f>
        <v/>
      </c>
      <c r="O23" s="281">
        <f>SUM(C23:N23)</f>
        <v/>
      </c>
      <c r="P23" s="74">
        <f>IF(ISERROR(O23/SUM($O$13:$O$37)),"%",O23/SUM($O$13:$O$37))</f>
        <v/>
      </c>
    </row>
    <row r="24" ht="15.5" customHeight="1" s="304">
      <c r="B24" s="73" t="inlineStr">
        <is>
          <t>Income offset</t>
        </is>
      </c>
      <c r="C24" s="282">
        <f>Jan!C18</f>
        <v/>
      </c>
      <c r="D24" s="283">
        <f>Feb!C18</f>
        <v/>
      </c>
      <c r="E24" s="283">
        <f>Mar!C18</f>
        <v/>
      </c>
      <c r="F24" s="283">
        <f>Apr!C18</f>
        <v/>
      </c>
      <c r="G24" s="283">
        <f>May!C18</f>
        <v/>
      </c>
      <c r="H24" s="283">
        <f>Jun!C18</f>
        <v/>
      </c>
      <c r="I24" s="283">
        <f>Jul!C18</f>
        <v/>
      </c>
      <c r="J24" s="283">
        <f>Aug!C18</f>
        <v/>
      </c>
      <c r="K24" s="283">
        <f>Sep!C18</f>
        <v/>
      </c>
      <c r="L24" s="283">
        <f>Oct!C18</f>
        <v/>
      </c>
      <c r="M24" s="283">
        <f>Nov!C18</f>
        <v/>
      </c>
      <c r="N24" s="284">
        <f>Dec!C18</f>
        <v/>
      </c>
      <c r="O24" s="281">
        <f>SUM(C24:N24)</f>
        <v/>
      </c>
      <c r="P24" s="74">
        <f>IF(ISERROR(O24/SUM($O$13:$O$37)),"%",O24/SUM($O$13:$O$37))</f>
        <v/>
      </c>
      <c r="Q24" s="274" t="n"/>
    </row>
    <row r="25" ht="15.5" customHeight="1" s="304">
      <c r="B25" s="73" t="inlineStr">
        <is>
          <t>GAS</t>
        </is>
      </c>
      <c r="C25" s="282">
        <f>Jan!C19</f>
        <v/>
      </c>
      <c r="D25" s="283">
        <f>Feb!C19</f>
        <v/>
      </c>
      <c r="E25" s="283">
        <f>Mar!C19</f>
        <v/>
      </c>
      <c r="F25" s="283">
        <f>Apr!C19</f>
        <v/>
      </c>
      <c r="G25" s="283">
        <f>May!C19</f>
        <v/>
      </c>
      <c r="H25" s="283">
        <f>Jun!C19</f>
        <v/>
      </c>
      <c r="I25" s="283">
        <f>Jul!C19</f>
        <v/>
      </c>
      <c r="J25" s="283">
        <f>Aug!C19</f>
        <v/>
      </c>
      <c r="K25" s="283">
        <f>Sep!C19</f>
        <v/>
      </c>
      <c r="L25" s="283">
        <f>Oct!C19</f>
        <v/>
      </c>
      <c r="M25" s="283">
        <f>Nov!C19</f>
        <v/>
      </c>
      <c r="N25" s="284">
        <f>Dec!C19</f>
        <v/>
      </c>
      <c r="O25" s="281">
        <f>SUM(C25:N25)</f>
        <v/>
      </c>
      <c r="P25" s="74">
        <f>IF(ISERROR(O25/SUM($O$13:$O$37)),"%",O25/SUM($O$13:$O$37))</f>
        <v/>
      </c>
    </row>
    <row r="26" ht="15.5" customHeight="1" s="304">
      <c r="B26" s="73" t="inlineStr">
        <is>
          <t>Electricity &amp; Water</t>
        </is>
      </c>
      <c r="C26" s="282">
        <f>Jan!C20</f>
        <v/>
      </c>
      <c r="D26" s="283">
        <f>Feb!C20</f>
        <v/>
      </c>
      <c r="E26" s="283">
        <f>Mar!C20</f>
        <v/>
      </c>
      <c r="F26" s="283">
        <f>Apr!C20</f>
        <v/>
      </c>
      <c r="G26" s="283">
        <f>May!C20</f>
        <v/>
      </c>
      <c r="H26" s="283">
        <f>Jun!C20</f>
        <v/>
      </c>
      <c r="I26" s="283">
        <f>Jul!C20</f>
        <v/>
      </c>
      <c r="J26" s="283">
        <f>Aug!C20</f>
        <v/>
      </c>
      <c r="K26" s="283">
        <f>Sep!C20</f>
        <v/>
      </c>
      <c r="L26" s="283">
        <f>Oct!C20</f>
        <v/>
      </c>
      <c r="M26" s="283">
        <f>Nov!C20</f>
        <v/>
      </c>
      <c r="N26" s="284">
        <f>Dec!C20</f>
        <v/>
      </c>
      <c r="O26" s="281">
        <f>SUM(C26:N26)</f>
        <v/>
      </c>
      <c r="P26" s="74">
        <f>IF(ISERROR(O26/SUM($O$13:$O$37)),"%",O26/SUM($O$13:$O$37))</f>
        <v/>
      </c>
    </row>
    <row r="27" ht="15.5" customHeight="1" s="304">
      <c r="B27" s="73" t="inlineStr">
        <is>
          <t>RESP</t>
        </is>
      </c>
      <c r="C27" s="282">
        <f>Jan!C21</f>
        <v/>
      </c>
      <c r="D27" s="283">
        <f>Feb!C21</f>
        <v/>
      </c>
      <c r="E27" s="283">
        <f>Mar!C21</f>
        <v/>
      </c>
      <c r="F27" s="283">
        <f>Apr!C21</f>
        <v/>
      </c>
      <c r="G27" s="283">
        <f>May!C21</f>
        <v/>
      </c>
      <c r="H27" s="283">
        <f>Jun!C21</f>
        <v/>
      </c>
      <c r="I27" s="283">
        <f>Jul!C21</f>
        <v/>
      </c>
      <c r="J27" s="283">
        <f>Aug!C21</f>
        <v/>
      </c>
      <c r="K27" s="283">
        <f>Sep!C21</f>
        <v/>
      </c>
      <c r="L27" s="283">
        <f>Oct!C21</f>
        <v/>
      </c>
      <c r="M27" s="283">
        <f>Nov!C21</f>
        <v/>
      </c>
      <c r="N27" s="284">
        <f>Dec!C21</f>
        <v/>
      </c>
      <c r="O27" s="281">
        <f>SUM(C27:N27)</f>
        <v/>
      </c>
      <c r="P27" s="74">
        <f>IF(ISERROR(O27/SUM($O$13:$O$37)),"%",O27/SUM($O$13:$O$37))</f>
        <v/>
      </c>
    </row>
    <row r="28" ht="15.5" customHeight="1" s="304">
      <c r="B28" s="73" t="inlineStr">
        <is>
          <t>Mobile Phone</t>
        </is>
      </c>
      <c r="C28" s="282">
        <f>Jan!C22</f>
        <v/>
      </c>
      <c r="D28" s="283">
        <f>Feb!C22</f>
        <v/>
      </c>
      <c r="E28" s="283">
        <f>Mar!C22</f>
        <v/>
      </c>
      <c r="F28" s="283">
        <f>Apr!C22</f>
        <v/>
      </c>
      <c r="G28" s="283">
        <f>May!C22</f>
        <v/>
      </c>
      <c r="H28" s="283">
        <f>Jun!C22</f>
        <v/>
      </c>
      <c r="I28" s="283">
        <f>Jul!C22</f>
        <v/>
      </c>
      <c r="J28" s="283">
        <f>Aug!C22</f>
        <v/>
      </c>
      <c r="K28" s="283">
        <f>Sep!C22</f>
        <v/>
      </c>
      <c r="L28" s="283">
        <f>Oct!C22</f>
        <v/>
      </c>
      <c r="M28" s="283">
        <f>Nov!C22</f>
        <v/>
      </c>
      <c r="N28" s="284">
        <f>Dec!C22</f>
        <v/>
      </c>
      <c r="O28" s="281">
        <f>SUM(C28:N28)</f>
        <v/>
      </c>
      <c r="P28" s="74">
        <f>IF(ISERROR(O28/SUM($O$13:$O$37)),"%",O28/SUM($O$13:$O$37))</f>
        <v/>
      </c>
    </row>
    <row r="29" ht="15.5" customHeight="1" s="304">
      <c r="B29" s="73" t="inlineStr">
        <is>
          <t>Daycare</t>
        </is>
      </c>
      <c r="C29" s="282">
        <f>Jan!C23</f>
        <v/>
      </c>
      <c r="D29" s="283">
        <f>Feb!C23</f>
        <v/>
      </c>
      <c r="E29" s="283">
        <f>Mar!C23</f>
        <v/>
      </c>
      <c r="F29" s="283">
        <f>Apr!C23</f>
        <v/>
      </c>
      <c r="G29" s="283">
        <f>May!C23</f>
        <v/>
      </c>
      <c r="H29" s="283">
        <f>Jun!C23</f>
        <v/>
      </c>
      <c r="I29" s="283">
        <f>Jul!C23</f>
        <v/>
      </c>
      <c r="J29" s="283">
        <f>Aug!C23</f>
        <v/>
      </c>
      <c r="K29" s="283">
        <f>Sep!C23</f>
        <v/>
      </c>
      <c r="L29" s="283">
        <f>Oct!C23</f>
        <v/>
      </c>
      <c r="M29" s="283">
        <f>Nov!C23</f>
        <v/>
      </c>
      <c r="N29" s="284">
        <f>Dec!C23</f>
        <v/>
      </c>
      <c r="O29" s="281">
        <f>SUM(C29:N29)</f>
        <v/>
      </c>
      <c r="P29" s="74">
        <f>IF(ISERROR(O29/SUM($O$13:$O$37)),"%",O29/SUM($O$13:$O$37))</f>
        <v/>
      </c>
    </row>
    <row r="30" ht="15.5" customHeight="1" s="304">
      <c r="B30" s="73" t="inlineStr">
        <is>
          <t>Rent / Mortgage</t>
        </is>
      </c>
      <c r="C30" s="282">
        <f>Jan!C24</f>
        <v/>
      </c>
      <c r="D30" s="283">
        <f>Feb!C24</f>
        <v/>
      </c>
      <c r="E30" s="283">
        <f>Mar!C24</f>
        <v/>
      </c>
      <c r="F30" s="283">
        <f>Apr!C24</f>
        <v/>
      </c>
      <c r="G30" s="283">
        <f>May!C24</f>
        <v/>
      </c>
      <c r="H30" s="283">
        <f>Jun!C24</f>
        <v/>
      </c>
      <c r="I30" s="283">
        <f>Jul!C24</f>
        <v/>
      </c>
      <c r="J30" s="283">
        <f>Aug!C24</f>
        <v/>
      </c>
      <c r="K30" s="283">
        <f>Sep!C24</f>
        <v/>
      </c>
      <c r="L30" s="283">
        <f>Oct!C24</f>
        <v/>
      </c>
      <c r="M30" s="283">
        <f>Nov!C24</f>
        <v/>
      </c>
      <c r="N30" s="284">
        <f>Dec!C24</f>
        <v/>
      </c>
      <c r="O30" s="281">
        <f>SUM(C30:N30)</f>
        <v/>
      </c>
      <c r="P30" s="74">
        <f>IF(ISERROR(O30/SUM($O$13:$O$37)),"%",O30/SUM($O$13:$O$37))</f>
        <v/>
      </c>
    </row>
    <row r="31" ht="15.5" customHeight="1" s="304">
      <c r="B31" s="73" t="inlineStr">
        <is>
          <t>Internet</t>
        </is>
      </c>
      <c r="C31" s="282">
        <f>Jan!C25</f>
        <v/>
      </c>
      <c r="D31" s="283">
        <f>Feb!C25</f>
        <v/>
      </c>
      <c r="E31" s="283">
        <f>Mar!C25</f>
        <v/>
      </c>
      <c r="F31" s="283">
        <f>Apr!C25</f>
        <v/>
      </c>
      <c r="G31" s="283">
        <f>May!C25</f>
        <v/>
      </c>
      <c r="H31" s="283">
        <f>Jun!C25</f>
        <v/>
      </c>
      <c r="I31" s="283">
        <f>Jul!C25</f>
        <v/>
      </c>
      <c r="J31" s="283">
        <f>Aug!C25</f>
        <v/>
      </c>
      <c r="K31" s="283">
        <f>Sep!C25</f>
        <v/>
      </c>
      <c r="L31" s="283">
        <f>Oct!C25</f>
        <v/>
      </c>
      <c r="M31" s="283">
        <f>Nov!C25</f>
        <v/>
      </c>
      <c r="N31" s="284">
        <f>Dec!C25</f>
        <v/>
      </c>
      <c r="O31" s="281">
        <f>SUM(C31:N31)</f>
        <v/>
      </c>
      <c r="P31" s="74">
        <f>IF(ISERROR(O31/SUM($O$13:$O$37)),"%",O31/SUM($O$13:$O$37))</f>
        <v/>
      </c>
    </row>
    <row r="32" ht="15.5" customHeight="1" s="304">
      <c r="B32" s="73" t="inlineStr">
        <is>
          <t>Car Insurance</t>
        </is>
      </c>
      <c r="C32" s="282">
        <f>Jan!C26</f>
        <v/>
      </c>
      <c r="D32" s="283">
        <f>Feb!C26</f>
        <v/>
      </c>
      <c r="E32" s="283">
        <f>Mar!C26</f>
        <v/>
      </c>
      <c r="F32" s="283">
        <f>Apr!C26</f>
        <v/>
      </c>
      <c r="G32" s="283">
        <f>May!C26</f>
        <v/>
      </c>
      <c r="H32" s="283">
        <f>Jun!C26</f>
        <v/>
      </c>
      <c r="I32" s="283">
        <f>Jul!C26</f>
        <v/>
      </c>
      <c r="J32" s="283">
        <f>Aug!C26</f>
        <v/>
      </c>
      <c r="K32" s="283">
        <f>Sep!C26</f>
        <v/>
      </c>
      <c r="L32" s="283">
        <f>Oct!C26</f>
        <v/>
      </c>
      <c r="M32" s="283">
        <f>Nov!C26</f>
        <v/>
      </c>
      <c r="N32" s="284">
        <f>Dec!C26</f>
        <v/>
      </c>
      <c r="O32" s="281">
        <f>SUM(C32:N32)</f>
        <v/>
      </c>
      <c r="P32" s="74">
        <f>IF(ISERROR(O32/SUM($O$13:$O$37)),"%",O32/SUM($O$13:$O$37))</f>
        <v/>
      </c>
    </row>
    <row r="33" ht="15.75" customHeight="1" s="304">
      <c r="B33" s="73" t="inlineStr">
        <is>
          <t>Property Tax</t>
        </is>
      </c>
      <c r="C33" s="282">
        <f>Jan!C27</f>
        <v/>
      </c>
      <c r="D33" s="283">
        <f>Feb!C27</f>
        <v/>
      </c>
      <c r="E33" s="283">
        <f>Mar!C27</f>
        <v/>
      </c>
      <c r="F33" s="283">
        <f>Apr!C27</f>
        <v/>
      </c>
      <c r="G33" s="283">
        <f>May!C27</f>
        <v/>
      </c>
      <c r="H33" s="283">
        <f>Jun!C27</f>
        <v/>
      </c>
      <c r="I33" s="283">
        <f>Jul!C27</f>
        <v/>
      </c>
      <c r="J33" s="283">
        <f>Aug!C27</f>
        <v/>
      </c>
      <c r="K33" s="283">
        <f>Sep!C27</f>
        <v/>
      </c>
      <c r="L33" s="283">
        <f>Oct!C27</f>
        <v/>
      </c>
      <c r="M33" s="283">
        <f>Nov!C27</f>
        <v/>
      </c>
      <c r="N33" s="284">
        <f>Dec!C27</f>
        <v/>
      </c>
      <c r="O33" s="281">
        <f>SUM(C33:N33)</f>
        <v/>
      </c>
      <c r="P33" s="74">
        <f>IF(ISERROR(O33/SUM($O$13:$O$37)),"%",O33/SUM($O$13:$O$37))</f>
        <v/>
      </c>
    </row>
    <row r="34" ht="15.5" customHeight="1" s="304">
      <c r="B34" s="73" t="inlineStr">
        <is>
          <t>Maintenance</t>
        </is>
      </c>
      <c r="C34" s="282">
        <f>Jan!C28</f>
        <v/>
      </c>
      <c r="D34" s="283">
        <f>Feb!C28</f>
        <v/>
      </c>
      <c r="E34" s="283">
        <f>Mar!C28</f>
        <v/>
      </c>
      <c r="F34" s="283">
        <f>Apr!C28</f>
        <v/>
      </c>
      <c r="G34" s="283">
        <f>May!C28</f>
        <v/>
      </c>
      <c r="H34" s="283">
        <f>Jun!C28</f>
        <v/>
      </c>
      <c r="I34" s="283">
        <f>Jul!C28</f>
        <v/>
      </c>
      <c r="J34" s="283">
        <f>Aug!C28</f>
        <v/>
      </c>
      <c r="K34" s="283">
        <f>Sep!C28</f>
        <v/>
      </c>
      <c r="L34" s="283">
        <f>Oct!C28</f>
        <v/>
      </c>
      <c r="M34" s="283">
        <f>Nov!C28</f>
        <v/>
      </c>
      <c r="N34" s="284">
        <f>Dec!C28</f>
        <v/>
      </c>
      <c r="O34" s="281">
        <f>SUM(C34:N34)</f>
        <v/>
      </c>
      <c r="P34" s="74">
        <f>IF(ISERROR(O34/SUM($O$13:$O$37)),"%",O34/SUM($O$13:$O$37))</f>
        <v/>
      </c>
    </row>
    <row r="35">
      <c r="B35" s="73" t="inlineStr">
        <is>
          <t>Home Insurance</t>
        </is>
      </c>
      <c r="C35" s="282">
        <f>Jan!C29</f>
        <v/>
      </c>
      <c r="D35" s="283">
        <f>Feb!C29</f>
        <v/>
      </c>
      <c r="E35" s="283">
        <f>Mar!C29</f>
        <v/>
      </c>
      <c r="F35" s="283">
        <f>Apr!C29</f>
        <v/>
      </c>
      <c r="G35" s="283">
        <f>May!C29</f>
        <v/>
      </c>
      <c r="H35" s="283">
        <f>Jun!C29</f>
        <v/>
      </c>
      <c r="I35" s="283">
        <f>Jul!C29</f>
        <v/>
      </c>
      <c r="J35" s="283">
        <f>Aug!C29</f>
        <v/>
      </c>
      <c r="K35" s="283">
        <f>Sep!C29</f>
        <v/>
      </c>
      <c r="L35" s="283">
        <f>Oct!C29</f>
        <v/>
      </c>
      <c r="M35" s="283">
        <f>Nov!C29</f>
        <v/>
      </c>
      <c r="N35" s="284">
        <f>Dec!C29</f>
        <v/>
      </c>
      <c r="O35" s="281">
        <f>SUM(C35:N35)</f>
        <v/>
      </c>
      <c r="P35" s="74">
        <f>IF(ISERROR(O35/SUM($O$13:$O$37)),"%",O35/SUM($O$13:$O$37))</f>
        <v/>
      </c>
    </row>
    <row r="36">
      <c r="B36" s="73" t="inlineStr">
        <is>
          <t>Car Loan Payment</t>
        </is>
      </c>
      <c r="C36" s="282">
        <f>Jan!C30</f>
        <v/>
      </c>
      <c r="D36" s="283">
        <f>Feb!C30</f>
        <v/>
      </c>
      <c r="E36" s="283">
        <f>Mar!C30</f>
        <v/>
      </c>
      <c r="F36" s="283">
        <f>Apr!C30</f>
        <v/>
      </c>
      <c r="G36" s="283">
        <f>May!C30</f>
        <v/>
      </c>
      <c r="H36" s="283">
        <f>Jun!C30</f>
        <v/>
      </c>
      <c r="I36" s="283">
        <f>Jul!C30</f>
        <v/>
      </c>
      <c r="J36" s="283">
        <f>Aug!C30</f>
        <v/>
      </c>
      <c r="K36" s="283">
        <f>Sep!C30</f>
        <v/>
      </c>
      <c r="L36" s="283">
        <f>Oct!C30</f>
        <v/>
      </c>
      <c r="M36" s="283">
        <f>Nov!C30</f>
        <v/>
      </c>
      <c r="N36" s="284">
        <f>Dec!C30</f>
        <v/>
      </c>
      <c r="O36" s="281">
        <f>SUM(C36:N36)</f>
        <v/>
      </c>
      <c r="P36" s="74">
        <f>IF(ISERROR(O36/SUM($O$13:$O$37)),"%",O36/SUM($O$13:$O$37))</f>
        <v/>
      </c>
    </row>
    <row r="37" ht="15.75" customHeight="1" s="304">
      <c r="B37" s="76" t="inlineStr">
        <is>
          <t>Other</t>
        </is>
      </c>
      <c r="C37" s="285">
        <f>SUM(Jan!$J$37:$BS$40)</f>
        <v/>
      </c>
      <c r="D37" s="286">
        <f>SUM(Feb!$J$37:$BS$40)</f>
        <v/>
      </c>
      <c r="E37" s="286">
        <f>SUM(Mar!$J$37:$BS$40)</f>
        <v/>
      </c>
      <c r="F37" s="286">
        <f>SUM(Apr!$J$37:$BS$40)</f>
        <v/>
      </c>
      <c r="G37" s="286">
        <f>SUM(May!$J$37:$BS$40)</f>
        <v/>
      </c>
      <c r="H37" s="286">
        <f>SUM(Jun!$J$37:$BS$40)</f>
        <v/>
      </c>
      <c r="I37" s="286">
        <f>SUM(Jul!$J$37:$BS$40)</f>
        <v/>
      </c>
      <c r="J37" s="286">
        <f>SUM(Aug!$J$37:$BS$40)</f>
        <v/>
      </c>
      <c r="K37" s="286">
        <f>SUM(Sep!$J$37:$BS$40)</f>
        <v/>
      </c>
      <c r="L37" s="286">
        <f>SUM(Oct!$J$37:$BS$40)</f>
        <v/>
      </c>
      <c r="M37" s="286">
        <f>SUM(Nov!$J$37:$BS$40)</f>
        <v/>
      </c>
      <c r="N37" s="287">
        <f>SUM(Dec!$J$37:$BS$40)</f>
        <v/>
      </c>
      <c r="O37" s="288">
        <f>SUM(C37:N37)</f>
        <v/>
      </c>
      <c r="P37" s="77">
        <f>IF(ISERROR(O37/SUM($O$13:$O$37)),"%",O37/SUM($O$13:$O$37))</f>
        <v/>
      </c>
    </row>
    <row r="38" ht="15.5" customHeight="1" s="304">
      <c r="B38" s="78" t="inlineStr">
        <is>
          <t>Total Expenses</t>
        </is>
      </c>
      <c r="C38" s="79">
        <f>SUM(C13:C37)-C24</f>
        <v/>
      </c>
      <c r="D38" s="79">
        <f>SUM(D13:D37)-D24</f>
        <v/>
      </c>
      <c r="E38" s="79">
        <f>SUM(E13:E37)-E24</f>
        <v/>
      </c>
      <c r="F38" s="79">
        <f>SUM(F13:F37)-F24</f>
        <v/>
      </c>
      <c r="G38" s="79">
        <f>SUM(G13:G37)-G24</f>
        <v/>
      </c>
      <c r="H38" s="79">
        <f>SUM(H13:H37)-H24</f>
        <v/>
      </c>
      <c r="I38" s="79">
        <f>SUM(I13:I37)-I24</f>
        <v/>
      </c>
      <c r="J38" s="79">
        <f>SUM(J13:J37)-J24</f>
        <v/>
      </c>
      <c r="K38" s="79">
        <f>SUM(K13:K37)-K24</f>
        <v/>
      </c>
      <c r="L38" s="79">
        <f>SUM(L13:L37)-L24</f>
        <v/>
      </c>
      <c r="M38" s="79">
        <f>SUM(M13:M37)-M24</f>
        <v/>
      </c>
      <c r="N38" s="79">
        <f>SUM(N13:N37)-N24</f>
        <v/>
      </c>
      <c r="O38" s="79">
        <f>SUM(O13:O37)-O24</f>
        <v/>
      </c>
      <c r="Q38" s="79" t="n"/>
      <c r="IV38" s="79" t="n"/>
    </row>
    <row r="39">
      <c r="B39" s="81" t="inlineStr">
        <is>
          <t>Net</t>
        </is>
      </c>
      <c r="C39" s="79">
        <f>C38+C24</f>
        <v/>
      </c>
      <c r="D39" s="79">
        <f>D38+D24</f>
        <v/>
      </c>
      <c r="E39" s="79">
        <f>E38+E24</f>
        <v/>
      </c>
      <c r="F39" s="79">
        <f>F38+F24</f>
        <v/>
      </c>
      <c r="G39" s="79">
        <f>G38+G24</f>
        <v/>
      </c>
      <c r="H39" s="79">
        <f>H38+H24</f>
        <v/>
      </c>
      <c r="I39" s="79">
        <f>I38+I24</f>
        <v/>
      </c>
      <c r="J39" s="79">
        <f>J38+J24</f>
        <v/>
      </c>
      <c r="K39" s="79">
        <f>K38+K24</f>
        <v/>
      </c>
      <c r="L39" s="79">
        <f>L38+L24</f>
        <v/>
      </c>
      <c r="M39" s="79">
        <f>M38+M24</f>
        <v/>
      </c>
      <c r="N39" s="79">
        <f>N38+N24</f>
        <v/>
      </c>
      <c r="O39" s="79">
        <f>O38+O24</f>
        <v/>
      </c>
    </row>
    <row r="40" ht="15.5" customHeight="1" s="304">
      <c r="C40" s="79" t="n"/>
      <c r="D40" s="79" t="n"/>
      <c r="E40" s="79" t="n"/>
      <c r="F40" s="79" t="n"/>
      <c r="G40" s="79" t="n"/>
      <c r="H40" s="79" t="n"/>
      <c r="I40" s="79" t="n"/>
      <c r="J40" s="79" t="n"/>
      <c r="K40" s="79" t="n"/>
      <c r="L40" s="79" t="n"/>
      <c r="M40" s="79" t="n"/>
      <c r="N40" s="79" t="n"/>
      <c r="O40" s="79" t="n"/>
      <c r="Q40" s="79" t="n"/>
    </row>
    <row r="41" ht="15.5" customHeight="1" s="304">
      <c r="Q41" s="79" t="n"/>
    </row>
    <row r="42" ht="15.5" customHeight="1" s="304">
      <c r="C42" s="346" t="n"/>
      <c r="Q42" s="79" t="n"/>
      <c r="U42" s="80" t="n"/>
    </row>
    <row r="43">
      <c r="B43" s="81" t="n"/>
      <c r="C43" s="274" t="n"/>
    </row>
    <row r="44">
      <c r="B44" s="83" t="n"/>
      <c r="C44" s="274" t="n"/>
      <c r="D44" s="81" t="n"/>
    </row>
    <row r="45">
      <c r="B45" s="81" t="n"/>
      <c r="C45" s="274" t="n"/>
      <c r="D45" s="81" t="n"/>
      <c r="J45" s="84" t="n"/>
      <c r="K45" s="79" t="n"/>
    </row>
    <row r="46">
      <c r="B46" s="446" t="inlineStr">
        <is>
          <t>Book version</t>
        </is>
      </c>
      <c r="C46" s="447" t="inlineStr">
        <is>
          <t>v2.1</t>
        </is>
      </c>
      <c r="D46" s="81" t="n"/>
      <c r="J46" s="79" t="n"/>
      <c r="K46" s="79" t="n"/>
    </row>
    <row r="47">
      <c r="B47" s="81" t="inlineStr">
        <is>
          <t>Statement features</t>
        </is>
      </c>
      <c r="C47" s="274" t="inlineStr">
        <is>
          <t>off</t>
        </is>
      </c>
      <c r="D47" s="81" t="n"/>
    </row>
    <row r="48">
      <c r="B48" s="81" t="inlineStr">
        <is>
          <t>Statement offer</t>
        </is>
      </c>
      <c r="C48" s="274" t="inlineStr">
        <is>
          <t>not yet</t>
        </is>
      </c>
      <c r="D48" s="81" t="n"/>
    </row>
    <row r="49">
      <c r="B49" s="81" t="inlineStr">
        <is>
          <t>Last weekly report</t>
        </is>
      </c>
      <c r="C49" s="274" t="n"/>
      <c r="D49" s="81" t="n"/>
    </row>
    <row r="50">
      <c r="B50" s="81" t="inlineStr">
        <is>
          <t>Last monthly report</t>
        </is>
      </c>
      <c r="C50" s="274" t="n"/>
      <c r="D50" s="81" t="n"/>
    </row>
    <row r="51">
      <c r="B51" s="81" t="inlineStr">
        <is>
          <t>Last yearly report</t>
        </is>
      </c>
      <c r="C51" s="274" t="n"/>
      <c r="D51" s="84" t="n"/>
    </row>
    <row r="52">
      <c r="B52" s="81" t="n"/>
      <c r="C52" s="274" t="n"/>
      <c r="D52" s="84" t="n"/>
    </row>
    <row r="53">
      <c r="B53" s="81" t="n"/>
      <c r="C53" s="274" t="n"/>
      <c r="D53" s="84" t="n"/>
    </row>
    <row r="54">
      <c r="B54" s="81" t="n"/>
      <c r="C54" s="274" t="n"/>
      <c r="D54" s="81" t="n"/>
    </row>
    <row r="55">
      <c r="B55" s="81" t="n"/>
      <c r="C55" s="274" t="n"/>
      <c r="D55" s="84" t="n"/>
    </row>
    <row r="56">
      <c r="B56" s="81" t="n"/>
      <c r="C56" s="274" t="n"/>
      <c r="D56" s="84" t="n"/>
      <c r="E56" s="81" t="n"/>
    </row>
    <row r="57">
      <c r="B57" s="81" t="n"/>
      <c r="C57" s="274" t="n"/>
      <c r="D57" s="84" t="n"/>
      <c r="E57" s="81" t="n"/>
      <c r="G57" s="81" t="n"/>
    </row>
    <row r="58">
      <c r="B58" s="81" t="n"/>
      <c r="C58" s="274" t="n"/>
      <c r="D58" s="84" t="n"/>
    </row>
    <row r="59">
      <c r="B59" s="81" t="n"/>
      <c r="C59" s="274" t="n"/>
      <c r="G59" s="79" t="n"/>
    </row>
    <row r="60">
      <c r="B60" s="81" t="n"/>
      <c r="C60" s="274" t="n"/>
      <c r="D60" s="84" t="n"/>
    </row>
    <row r="61">
      <c r="B61" s="81" t="n"/>
      <c r="C61" s="274" t="n"/>
    </row>
    <row r="62">
      <c r="B62" s="81" t="n"/>
      <c r="C62" s="274" t="n"/>
      <c r="D62" s="84" t="n"/>
    </row>
    <row r="63">
      <c r="B63" s="81" t="n"/>
      <c r="C63" s="274" t="n"/>
      <c r="D63" s="84" t="n"/>
    </row>
    <row r="64">
      <c r="B64" s="81" t="n"/>
      <c r="C64" s="274" t="n"/>
      <c r="D64" s="84" t="n"/>
    </row>
    <row r="65">
      <c r="B65" s="81" t="n"/>
      <c r="C65" s="274" t="n"/>
      <c r="D65" s="84" t="n"/>
    </row>
    <row r="66">
      <c r="B66" s="81" t="n"/>
      <c r="C66" s="274" t="n"/>
      <c r="D66" s="84" t="n"/>
    </row>
    <row r="67">
      <c r="B67" s="81" t="n"/>
      <c r="C67" s="274" t="n"/>
      <c r="D67" s="84" t="n"/>
    </row>
    <row r="68">
      <c r="B68" s="81" t="n"/>
      <c r="C68" s="274" t="n"/>
      <c r="D68" s="84" t="n"/>
    </row>
    <row r="69">
      <c r="B69" s="81" t="n"/>
      <c r="C69" s="274" t="n"/>
      <c r="D69" s="84" t="n"/>
    </row>
    <row r="70">
      <c r="B70" s="81" t="n"/>
      <c r="C70" s="274" t="n"/>
      <c r="D70" s="84" t="n"/>
    </row>
    <row r="71">
      <c r="B71" s="81" t="n"/>
      <c r="C71" s="274" t="n"/>
      <c r="D71" s="84" t="n"/>
      <c r="E71" s="81" t="n"/>
    </row>
    <row r="72">
      <c r="B72" s="81" t="n"/>
      <c r="C72" s="274" t="n"/>
      <c r="D72" s="84" t="n"/>
    </row>
    <row r="73">
      <c r="B73" s="81" t="n"/>
      <c r="C73" s="274" t="n"/>
      <c r="D73" s="84" t="n"/>
    </row>
    <row r="74">
      <c r="B74" s="81" t="n"/>
      <c r="C74" s="274" t="n"/>
    </row>
    <row r="75">
      <c r="B75" s="81" t="n"/>
      <c r="C75" s="274" t="n"/>
      <c r="D75" s="81" t="n"/>
    </row>
    <row r="76">
      <c r="B76" s="81" t="n"/>
      <c r="C76" s="274" t="n"/>
    </row>
    <row r="77">
      <c r="B77" s="81" t="n"/>
      <c r="C77" s="274" t="n"/>
      <c r="D77" s="81" t="n"/>
    </row>
    <row r="78">
      <c r="B78" s="81" t="n"/>
      <c r="C78" s="274" t="n"/>
      <c r="D78" s="84" t="n"/>
    </row>
    <row r="79">
      <c r="B79" s="81" t="n"/>
      <c r="C79" s="274" t="n"/>
      <c r="D79" s="81" t="n"/>
    </row>
    <row r="80">
      <c r="B80" s="81" t="n"/>
      <c r="C80" s="274" t="n"/>
      <c r="D80" s="84" t="n"/>
    </row>
    <row r="81">
      <c r="B81" s="81" t="n"/>
      <c r="C81" s="274" t="n"/>
      <c r="D81" s="81" t="n"/>
    </row>
    <row r="82">
      <c r="B82" s="81" t="n"/>
      <c r="C82" s="274" t="n"/>
      <c r="D82" s="84" t="n"/>
      <c r="E82" s="81" t="n"/>
    </row>
    <row r="83">
      <c r="B83" s="81" t="n"/>
      <c r="C83" s="274" t="n"/>
    </row>
    <row r="84">
      <c r="B84" s="81" t="n"/>
      <c r="C84" s="274" t="n"/>
      <c r="D84" s="84" t="n"/>
    </row>
    <row r="85">
      <c r="B85" s="81" t="n"/>
      <c r="C85" s="274" t="n"/>
      <c r="D85" s="84" t="n"/>
    </row>
    <row r="86">
      <c r="B86" s="81" t="n"/>
      <c r="C86" s="274" t="n"/>
    </row>
    <row r="87">
      <c r="B87" s="81" t="n"/>
      <c r="C87" s="274" t="n"/>
    </row>
    <row r="88">
      <c r="B88" s="81" t="n"/>
      <c r="C88" s="274" t="n"/>
      <c r="D88" s="79" t="n"/>
    </row>
    <row r="89">
      <c r="B89" s="81" t="n"/>
      <c r="C89" s="274" t="n"/>
    </row>
    <row r="90">
      <c r="B90" s="81" t="n"/>
      <c r="C90" s="274" t="n"/>
      <c r="D90" s="81" t="n"/>
      <c r="I90" s="85" t="n"/>
      <c r="J90" s="85" t="n"/>
      <c r="K90" s="85" t="n"/>
      <c r="L90" s="85" t="n"/>
    </row>
    <row r="91">
      <c r="B91" s="81" t="n"/>
      <c r="C91" s="274" t="n"/>
      <c r="D91" s="81" t="n"/>
    </row>
    <row r="92">
      <c r="B92" s="81" t="n"/>
      <c r="C92" s="274" t="n"/>
      <c r="D92" s="84" t="n"/>
    </row>
    <row r="93">
      <c r="B93" s="81" t="n"/>
      <c r="C93" s="274" t="n"/>
      <c r="D93" s="81" t="n"/>
    </row>
    <row r="94">
      <c r="B94" s="81" t="n"/>
      <c r="C94" s="274" t="n"/>
    </row>
    <row r="95">
      <c r="B95" s="81" t="n"/>
      <c r="C95" s="274" t="n"/>
      <c r="D95" s="81" t="n"/>
    </row>
    <row r="96">
      <c r="B96" s="81" t="n"/>
      <c r="C96" s="79" t="n"/>
      <c r="D96" s="81" t="n"/>
    </row>
    <row r="97">
      <c r="B97" s="81" t="n"/>
      <c r="C97" s="79" t="n"/>
      <c r="D97" s="347" t="n"/>
    </row>
    <row r="98">
      <c r="B98" s="81" t="n"/>
      <c r="C98" s="79" t="n"/>
      <c r="D98" s="347" t="n"/>
    </row>
    <row r="99">
      <c r="B99" s="81" t="n"/>
      <c r="C99" s="79" t="n"/>
      <c r="D99" s="347" t="n"/>
    </row>
    <row r="100">
      <c r="B100" s="81" t="n"/>
      <c r="C100" s="79" t="n"/>
      <c r="D100" s="347" t="n"/>
    </row>
    <row r="101">
      <c r="B101" s="81" t="n"/>
      <c r="C101" s="79" t="n"/>
      <c r="D101" s="347" t="n"/>
    </row>
    <row r="102">
      <c r="B102" s="81" t="n"/>
      <c r="C102" s="274" t="n"/>
    </row>
    <row r="103">
      <c r="B103" s="81" t="n"/>
      <c r="C103" s="274" t="n"/>
      <c r="D103" s="347" t="n"/>
    </row>
    <row r="104">
      <c r="B104" s="81" t="n"/>
      <c r="C104" s="274" t="n"/>
      <c r="D104" s="347" t="n"/>
    </row>
    <row r="105">
      <c r="B105" s="81" t="n"/>
      <c r="C105" s="274" t="n"/>
      <c r="D105" s="347" t="n"/>
    </row>
    <row r="106">
      <c r="B106" s="81" t="n"/>
      <c r="C106" s="274" t="n"/>
      <c r="D106" s="347" t="n"/>
    </row>
    <row r="107">
      <c r="B107" s="81" t="n"/>
      <c r="C107" s="274" t="n"/>
      <c r="D107" s="84" t="n"/>
    </row>
    <row r="108">
      <c r="B108" s="81" t="n"/>
      <c r="C108" s="274" t="n"/>
      <c r="D108" s="81" t="n"/>
    </row>
    <row r="109">
      <c r="B109" s="81" t="n"/>
      <c r="C109" s="274" t="n"/>
    </row>
    <row r="110">
      <c r="B110" s="81" t="n"/>
      <c r="C110" s="274" t="n"/>
    </row>
    <row r="111">
      <c r="B111" s="81" t="n"/>
      <c r="C111" s="274" t="n"/>
      <c r="D111" s="81" t="n"/>
    </row>
    <row r="112">
      <c r="B112" s="81" t="n"/>
      <c r="C112" s="274" t="n"/>
      <c r="D112" s="81" t="n"/>
    </row>
    <row r="113">
      <c r="B113" s="81" t="n"/>
      <c r="C113" s="274" t="n"/>
      <c r="D113" s="81" t="n"/>
    </row>
    <row r="114">
      <c r="B114" s="81" t="n"/>
      <c r="C114" s="274" t="n"/>
      <c r="D114" s="81" t="n"/>
    </row>
    <row r="115">
      <c r="B115" s="81" t="n"/>
      <c r="C115" s="274" t="n"/>
    </row>
    <row r="116">
      <c r="B116" s="81" t="n"/>
      <c r="C116" s="274" t="n"/>
    </row>
    <row r="117">
      <c r="B117" s="81" t="n"/>
      <c r="C117" s="274" t="n"/>
      <c r="D117" s="84" t="n"/>
    </row>
    <row r="118">
      <c r="B118" s="81" t="n"/>
      <c r="C118" s="274" t="n"/>
    </row>
    <row r="119">
      <c r="C119" s="274" t="n"/>
      <c r="I119" s="79" t="n"/>
      <c r="J119" s="84" t="n"/>
    </row>
    <row r="120">
      <c r="C120" s="274" t="n"/>
    </row>
    <row r="121">
      <c r="C121" s="274" t="n"/>
    </row>
    <row r="122">
      <c r="C122" s="289" t="n"/>
      <c r="D122" s="81" t="n"/>
    </row>
    <row r="123">
      <c r="C123" s="274" t="n"/>
    </row>
    <row r="124">
      <c r="C124" s="274" t="n"/>
    </row>
    <row r="125">
      <c r="C125" s="274" t="n"/>
    </row>
    <row r="126">
      <c r="C126" s="274" t="n"/>
    </row>
    <row r="127" ht="15.5" customHeight="1" s="304"/>
  </sheetData>
  <mergeCells count="3">
    <mergeCell ref="C11:N11"/>
    <mergeCell ref="B2:P4"/>
    <mergeCell ref="B5:E5"/>
  </mergeCells>
  <conditionalFormatting sqref="B21:B37">
    <cfRule type="cellIs" priority="3" operator="equal" dxfId="5" stopIfTrue="1">
      <formula>"Sat"</formula>
    </cfRule>
    <cfRule type="cellIs" priority="4" operator="equal" dxfId="0" stopIfTrue="1">
      <formula>"Sun"</formula>
    </cfRule>
  </conditionalFormatting>
  <hyperlinks>
    <hyperlink ref="C8" location="'Jan'!C8" display="Jan"/>
    <hyperlink ref="D8" location="'Feb'!C8" display="Feb"/>
    <hyperlink ref="E8" location="'Mar'!C8" display="Mar"/>
    <hyperlink ref="F8" location="'Apr'!C8" display="Apr"/>
    <hyperlink ref="G8" location="'May'!C8" display="May"/>
    <hyperlink ref="H8" location="'Jun'!C8" display="Jun"/>
    <hyperlink ref="I8" location="'Jul'!C8" display="Jul"/>
    <hyperlink ref="J8" location="'Aug'!C8" display="Aug"/>
    <hyperlink ref="K8" location="'Sep'!C8" display="Sep"/>
    <hyperlink ref="L8" location="'Oct'!C8" display="Oct"/>
    <hyperlink ref="M8" location="'Nov'!C8" display="Nov"/>
    <hyperlink ref="N8" location="'Dec'!C8" display="Dec"/>
    <hyperlink ref="C12" location="'Jan'!C8" display="Jan"/>
    <hyperlink ref="D12" location="'Feb'!C8" display="Feb"/>
    <hyperlink ref="E12" location="'Mar'!C8" display="Mar"/>
    <hyperlink ref="F12" location="'Apr'!C8" display="Apr"/>
    <hyperlink ref="G12" location="'May'!C8" display="May"/>
    <hyperlink ref="H12" location="'Jun'!C8" display="Jun"/>
    <hyperlink ref="I12" location="'Jul'!C8" display="Jul"/>
    <hyperlink ref="J12" location="'Aug'!C8" display="Aug"/>
    <hyperlink ref="K12" location="'Sep'!C8" display="Sep"/>
    <hyperlink ref="L12" location="'Oct'!C8" display="Oct"/>
    <hyperlink ref="M12" location="'Nov'!C8" display="Nov"/>
    <hyperlink ref="N12" location="'Dec'!C8" display="Dec"/>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indexed="45"/>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2.6328125"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2"/>
    <col width="11" bestFit="1" customWidth="1" style="1" min="33" max="33"/>
    <col width="8.90625" customWidth="1" style="1" min="34" max="34"/>
    <col width="10.6328125" bestFit="1" customWidth="1" style="1" min="35" max="35"/>
    <col width="8.90625" customWidth="1" style="1" min="36" max="36"/>
    <col width="10.6328125" bestFit="1" customWidth="1" style="1" min="37" max="37"/>
    <col width="8.90625" customWidth="1" style="1" min="38" max="38"/>
    <col width="11" bestFit="1" customWidth="1" style="1" min="39" max="39"/>
    <col width="8.90625" customWidth="1" style="1" min="40" max="40"/>
    <col width="10.6328125" bestFit="1" customWidth="1" style="1" min="41" max="41"/>
    <col width="8.90625" customWidth="1" style="1" min="42" max="42"/>
    <col width="11"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471"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471"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471"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15">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c r="BU28" s="39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2"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1"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93"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R45" s="62" t="n"/>
      <c r="BS45" s="62" t="n"/>
      <c r="BT45" s="62" t="n"/>
      <c r="BU45" s="62" t="n"/>
    </row>
    <row r="46" ht="14" customHeight="1" s="304">
      <c r="AW46" s="166" t="n"/>
      <c r="BA46" s="166" t="n"/>
      <c r="BC46" s="166" t="n"/>
    </row>
    <row r="47" ht="40" customHeight="1" s="304">
      <c r="B47" s="448" t="inlineStr">
        <is>
          <t>Transactions this month
One row per posted line, including a card payment or a bank line. These rows are not included in the totals above. A card payment is not a grid expense.</t>
        </is>
      </c>
      <c r="BM47" s="166" t="n"/>
      <c r="BS47" s="166" t="n"/>
    </row>
    <row r="48" ht="32" customHeight="1" s="304">
      <c r="B48" s="449" t="inlineStr">
        <is>
          <t>Card</t>
        </is>
      </c>
      <c r="C48" s="449" t="inlineStr">
        <is>
          <t>Trans date</t>
        </is>
      </c>
      <c r="D48" s="449" t="inlineStr">
        <is>
          <t>Post date</t>
        </is>
      </c>
      <c r="E48" s="62" t="n"/>
      <c r="F48" s="449" t="inlineStr">
        <is>
          <t>Description</t>
        </is>
      </c>
      <c r="G48" s="449" t="inlineStr">
        <is>
          <t>Amount</t>
        </is>
      </c>
      <c r="I48" s="449" t="inlineStr">
        <is>
          <t>Category</t>
        </is>
      </c>
      <c r="J48" s="449" t="inlineStr">
        <is>
          <t>Receipt #</t>
        </is>
      </c>
      <c r="K48" s="534" t="n"/>
      <c r="L48" s="534" t="n"/>
      <c r="S48" s="534" t="n"/>
      <c r="AW48" s="166" t="n"/>
      <c r="AX48" s="166"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62" t="n"/>
      <c r="C49" s="498" t="n"/>
      <c r="D49" s="498" t="n"/>
      <c r="E49" s="62" t="n"/>
      <c r="F49" s="62" t="n"/>
      <c r="G49" s="499" t="n"/>
      <c r="AW49" s="166" t="n"/>
    </row>
    <row r="50" ht="14" customHeight="1" s="304">
      <c r="B50" s="62" t="n"/>
      <c r="C50" s="498" t="n"/>
      <c r="D50" s="498" t="n"/>
      <c r="E50" s="62" t="n"/>
      <c r="F50" s="62" t="n"/>
      <c r="G50" s="499" t="n"/>
    </row>
    <row r="51" ht="14" customHeight="1" s="304">
      <c r="B51" s="62" t="n"/>
      <c r="C51" s="498" t="n"/>
      <c r="D51" s="498" t="n"/>
      <c r="E51" s="62" t="n"/>
      <c r="F51" s="62" t="n"/>
      <c r="G51" s="499" t="n"/>
    </row>
    <row r="52" ht="14" customHeight="1" s="304">
      <c r="B52" s="45" t="n"/>
      <c r="C52" s="500" t="n"/>
      <c r="D52" s="501" t="n"/>
      <c r="E52" s="48" t="n"/>
      <c r="F52" s="62" t="n"/>
      <c r="G52" s="499" t="n"/>
    </row>
    <row r="53" ht="14" customHeight="1" s="304">
      <c r="B53" s="45" t="n"/>
      <c r="C53" s="500" t="n"/>
      <c r="D53" s="501" t="n"/>
      <c r="E53" s="48" t="n"/>
      <c r="F53" s="62" t="n"/>
      <c r="G53" s="499" t="n"/>
    </row>
    <row r="54" ht="14" customHeight="1" s="304">
      <c r="B54" s="45" t="n"/>
      <c r="C54" s="500" t="n"/>
      <c r="D54" s="501" t="n"/>
      <c r="E54" s="48" t="n"/>
      <c r="F54" s="62" t="n"/>
      <c r="G54" s="499" t="n"/>
    </row>
    <row r="55" ht="14" customHeight="1" s="304">
      <c r="B55" s="45" t="n"/>
      <c r="C55" s="500" t="n"/>
      <c r="D55" s="501" t="n"/>
      <c r="E55" s="48" t="n"/>
      <c r="F55" s="62" t="n"/>
      <c r="G55" s="499" t="n"/>
    </row>
    <row r="56" ht="14" customHeight="1" s="304">
      <c r="B56" s="45" t="n"/>
      <c r="C56" s="500" t="n"/>
      <c r="D56" s="501" t="n"/>
      <c r="E56" s="48" t="n"/>
      <c r="F56" s="62" t="n"/>
      <c r="G56" s="499" t="n"/>
    </row>
    <row r="57" ht="14" customHeight="1" s="304">
      <c r="B57" s="62" t="n"/>
      <c r="C57" s="498" t="n"/>
      <c r="D57" s="498" t="n"/>
      <c r="E57" s="62" t="n"/>
      <c r="F57" s="62" t="n"/>
      <c r="G57" s="499" t="n"/>
    </row>
    <row r="58" ht="14" customHeight="1" s="304">
      <c r="B58" s="62" t="n"/>
      <c r="C58" s="498" t="n"/>
      <c r="D58" s="498" t="n"/>
      <c r="E58" s="62" t="n"/>
      <c r="F58" s="62" t="n"/>
      <c r="G58" s="499" t="n"/>
    </row>
    <row r="59" ht="14" customHeight="1" s="304">
      <c r="B59" s="62" t="n"/>
      <c r="C59" s="498" t="n"/>
      <c r="D59" s="498" t="n"/>
      <c r="E59" s="62" t="n"/>
      <c r="F59" s="62" t="n"/>
      <c r="G59" s="499" t="n"/>
    </row>
    <row r="60" ht="14" customHeight="1" s="304">
      <c r="C60" s="502" t="n"/>
      <c r="D60" s="503" t="n"/>
      <c r="G60" s="499" t="n"/>
    </row>
    <row r="61" ht="14" customHeight="1" s="304">
      <c r="B61" s="170" t="n"/>
      <c r="C61" s="504" t="n"/>
      <c r="D61" s="504" t="n"/>
      <c r="E61" s="170" t="n"/>
      <c r="G61" s="499" t="n"/>
    </row>
    <row r="62" ht="14" customHeight="1" s="304">
      <c r="B62" s="170" t="n"/>
      <c r="C62" s="504" t="n"/>
      <c r="D62" s="504" t="n"/>
      <c r="E62" s="170" t="n"/>
      <c r="G62" s="499" t="n"/>
    </row>
    <row r="63" ht="14" customHeight="1" s="304">
      <c r="B63" s="170" t="n"/>
      <c r="C63" s="504" t="n"/>
      <c r="D63" s="504" t="n"/>
      <c r="E63" s="170" t="n"/>
      <c r="G63" s="499" t="n"/>
    </row>
    <row r="64" ht="14" customHeight="1" s="304">
      <c r="B64" s="170" t="n"/>
      <c r="C64" s="504" t="n"/>
      <c r="D64" s="504" t="n"/>
      <c r="E64" s="170" t="n"/>
      <c r="G64" s="499" t="n"/>
    </row>
    <row r="65" ht="14" customHeight="1" s="304">
      <c r="B65" s="170" t="n"/>
      <c r="C65" s="504" t="n"/>
      <c r="D65" s="504" t="n"/>
      <c r="E65" s="170" t="n"/>
      <c r="G65" s="499" t="n"/>
    </row>
    <row r="66" ht="14" customHeight="1" s="304">
      <c r="B66" s="170" t="n"/>
      <c r="C66" s="504" t="n"/>
      <c r="D66" s="504" t="n"/>
      <c r="E66" s="170" t="n"/>
      <c r="G66" s="499" t="n"/>
    </row>
    <row r="67" ht="14" customHeight="1" s="304">
      <c r="B67" s="170" t="n"/>
      <c r="C67" s="504" t="n"/>
      <c r="D67" s="504" t="n"/>
      <c r="E67" s="170" t="n"/>
      <c r="G67" s="499" t="n"/>
    </row>
    <row r="68">
      <c r="C68" s="502" t="n"/>
      <c r="D68" s="502" t="n"/>
      <c r="G68" s="499" t="n"/>
    </row>
    <row r="69">
      <c r="C69" s="502" t="n"/>
      <c r="D69" s="502" t="n"/>
      <c r="G69" s="499" t="n"/>
    </row>
    <row r="70" ht="14" customHeight="1" s="304">
      <c r="C70" s="503" t="n"/>
      <c r="D70" s="502" t="n"/>
      <c r="G70" s="499" t="n"/>
    </row>
    <row r="71" ht="14" customHeight="1" s="304">
      <c r="B71" s="170" t="n"/>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ht="14" customHeight="1" s="304">
      <c r="C76" s="504"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AD3:AE3"/>
    <mergeCell ref="I30:I31"/>
    <mergeCell ref="AF3:AG3"/>
    <mergeCell ref="AX4:AY4"/>
    <mergeCell ref="F22:G23"/>
    <mergeCell ref="P4:Q4"/>
    <mergeCell ref="BH4:BI4"/>
    <mergeCell ref="AN3:AO3"/>
    <mergeCell ref="I17:I19"/>
    <mergeCell ref="BJ4:BK4"/>
    <mergeCell ref="AP3:AQ3"/>
    <mergeCell ref="BB3:BC3"/>
    <mergeCell ref="AH3:AI3"/>
    <mergeCell ref="B47:I47"/>
    <mergeCell ref="V3:W3"/>
    <mergeCell ref="N4:O4"/>
    <mergeCell ref="B150:I150"/>
    <mergeCell ref="AB4:AC4"/>
    <mergeCell ref="R4:S4"/>
    <mergeCell ref="T4:U4"/>
    <mergeCell ref="AT3:AU3"/>
    <mergeCell ref="L3:M3"/>
    <mergeCell ref="BF3:BG3"/>
    <mergeCell ref="BD3:BE3"/>
    <mergeCell ref="N3:O3"/>
    <mergeCell ref="BP4:BQ4"/>
    <mergeCell ref="AH4:AI4"/>
    <mergeCell ref="AN4:AO4"/>
    <mergeCell ref="BH3:BI3"/>
    <mergeCell ref="BN3:BO3"/>
    <mergeCell ref="BP3:BQ3"/>
    <mergeCell ref="BR3:BS3"/>
    <mergeCell ref="AV3:AW3"/>
    <mergeCell ref="X3:Y3"/>
    <mergeCell ref="AR4:AS4"/>
    <mergeCell ref="I22:I27"/>
    <mergeCell ref="AT4:AU4"/>
    <mergeCell ref="AZ4:BA4"/>
    <mergeCell ref="Z3:AA3"/>
    <mergeCell ref="AV4:AW4"/>
    <mergeCell ref="BB4:BC4"/>
    <mergeCell ref="J4:K4"/>
    <mergeCell ref="BD4:BE4"/>
    <mergeCell ref="L4:M4"/>
    <mergeCell ref="AJ3:AK3"/>
    <mergeCell ref="BF4:BG4"/>
    <mergeCell ref="BL4:BM4"/>
    <mergeCell ref="AL3:AM3"/>
    <mergeCell ref="BN4:BO4"/>
    <mergeCell ref="AF4:AG4"/>
    <mergeCell ref="F26:G39"/>
    <mergeCell ref="R3:S3"/>
    <mergeCell ref="I6:I16"/>
    <mergeCell ref="X4:Y4"/>
    <mergeCell ref="J3:K3"/>
    <mergeCell ref="BR4:BS4"/>
    <mergeCell ref="AJ4:AK4"/>
    <mergeCell ref="Z4:AA4"/>
    <mergeCell ref="AL4:AM4"/>
    <mergeCell ref="BJ3:BK3"/>
    <mergeCell ref="BL3:BM3"/>
    <mergeCell ref="AX3:AY3"/>
    <mergeCell ref="AZ3:BA3"/>
    <mergeCell ref="P3:Q3"/>
    <mergeCell ref="F18:G19"/>
    <mergeCell ref="AR3:AS3"/>
    <mergeCell ref="V4:W4"/>
    <mergeCell ref="T3:U3"/>
    <mergeCell ref="AD4:AE4"/>
    <mergeCell ref="AP4:AQ4"/>
    <mergeCell ref="AB3:AC3"/>
  </mergeCells>
  <conditionalFormatting sqref="A1:H2 A3:I4 A5:A44 A76:A79 B5:H5 B77:C79 D27:E28 E20:G21 E22:F22 E23:E26 E29:E30 F6:G14 F17:G17 F25:F26 F40:G44 H6:H44 I2 I5:I6 I9 I20 J5:BS16 BT1:IV44">
    <cfRule type="cellIs" priority="326" operator="equal" dxfId="0" stopIfTrue="1">
      <formula>"Sun"</formula>
    </cfRule>
    <cfRule type="cellIs" priority="325" operator="equal" dxfId="5" stopIfTrue="1">
      <formula>"Sat"</formula>
    </cfRule>
  </conditionalFormatting>
  <conditionalFormatting sqref="B18:B30">
    <cfRule type="cellIs" priority="120" operator="equal" dxfId="0" stopIfTrue="1">
      <formula>"Sun"</formula>
    </cfRule>
    <cfRule type="cellIs" priority="119" operator="equal" dxfId="5" stopIfTrue="1">
      <formula>"Sat"</formula>
    </cfRule>
  </conditionalFormatting>
  <conditionalFormatting sqref="B6:E17">
    <cfRule type="cellIs" priority="254" operator="equal" dxfId="0" stopIfTrue="1">
      <formula>"Sun"</formula>
    </cfRule>
    <cfRule type="cellIs" priority="253" operator="equal" dxfId="5" stopIfTrue="1">
      <formula>"Sat"</formula>
    </cfRule>
  </conditionalFormatting>
  <conditionalFormatting sqref="B31:E44">
    <cfRule type="cellIs" priority="293" operator="equal" dxfId="5" stopIfTrue="1">
      <formula>"Sat"</formula>
    </cfRule>
    <cfRule type="cellIs" priority="294" operator="equal" dxfId="0" stopIfTrue="1">
      <formula>"Sun"</formula>
    </cfRule>
  </conditionalFormatting>
  <conditionalFormatting sqref="C26:C27">
    <cfRule type="cellIs" priority="21" operator="equal" dxfId="5" stopIfTrue="1">
      <formula>"Sat"</formula>
    </cfRule>
    <cfRule type="cellIs" priority="22" operator="equal" dxfId="0" stopIfTrue="1">
      <formula>"Sun"</formula>
    </cfRule>
  </conditionalFormatting>
  <conditionalFormatting sqref="C29:C30">
    <cfRule type="cellIs" priority="19" operator="equal" dxfId="5" stopIfTrue="1">
      <formula>"Sat"</formula>
    </cfRule>
    <cfRule type="cellIs" priority="20" operator="equal" dxfId="0" stopIfTrue="1">
      <formula>"Sun"</formula>
    </cfRule>
  </conditionalFormatting>
  <conditionalFormatting sqref="C21:D22">
    <cfRule type="cellIs" priority="23" operator="equal" dxfId="5" stopIfTrue="1">
      <formula>"Sat"</formula>
    </cfRule>
    <cfRule type="cellIs" priority="24"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19:E19">
    <cfRule type="cellIs" priority="27" operator="equal" dxfId="5" stopIfTrue="1">
      <formula>"Sat"</formula>
    </cfRule>
    <cfRule type="cellIs" priority="28" operator="equal" dxfId="0" stopIfTrue="1">
      <formula>"Sun"</formula>
    </cfRule>
  </conditionalFormatting>
  <conditionalFormatting sqref="C18:F18">
    <cfRule type="cellIs" priority="49" operator="equal" dxfId="5" stopIfTrue="1">
      <formula>"Sat"</formula>
    </cfRule>
    <cfRule type="cellIs" priority="50" operator="equal" dxfId="0" stopIfTrue="1">
      <formula>"Sun"</formula>
    </cfRule>
  </conditionalFormatting>
  <conditionalFormatting sqref="D26">
    <cfRule type="cellIs" priority="68" operator="equal" dxfId="0" stopIfTrue="1">
      <formula>"Sun"</formula>
    </cfRule>
    <cfRule type="cellIs" priority="67" operator="equal" dxfId="5" stopIfTrue="1">
      <formula>"Sat"</formula>
    </cfRule>
  </conditionalFormatting>
  <conditionalFormatting sqref="G47:BS47">
    <cfRule type="cellIs" priority="136" operator="equal" dxfId="0" stopIfTrue="1">
      <formula>"Sun"</formula>
    </cfRule>
    <cfRule type="cellIs" priority="135" operator="equal" dxfId="5" stopIfTrue="1">
      <formula>"Sat"</formula>
    </cfRule>
  </conditionalFormatting>
  <conditionalFormatting sqref="I22:I37">
    <cfRule type="cellIs" priority="278" operator="equal" dxfId="0" stopIfTrue="1">
      <formula>"Sun"</formula>
    </cfRule>
    <cfRule type="cellIs" priority="277" operator="equal" dxfId="5" stopIfTrue="1">
      <formula>"Sat"</formula>
    </cfRule>
  </conditionalFormatting>
  <conditionalFormatting sqref="I17:BS17">
    <cfRule type="cellIs" priority="117" operator="equal" dxfId="5" stopIfTrue="1">
      <formula>"Sat"</formula>
    </cfRule>
    <cfRule type="cellIs" priority="118" operator="equal" dxfId="0" stopIfTrue="1">
      <formula>"Sun"</formula>
    </cfRule>
  </conditionalFormatting>
  <conditionalFormatting sqref="I21:BS21">
    <cfRule type="cellIs" priority="304" operator="equal" dxfId="0" stopIfTrue="1">
      <formula>"Sun"</formula>
    </cfRule>
    <cfRule type="cellIs" priority="303" operator="equal" dxfId="5" stopIfTrue="1">
      <formula>"Sat"</formula>
    </cfRule>
  </conditionalFormatting>
  <conditionalFormatting sqref="I42:BS44">
    <cfRule type="cellIs" priority="202" operator="equal" dxfId="0" stopIfTrue="1">
      <formula>"Sun"</formula>
    </cfRule>
    <cfRule type="cellIs" priority="201" operator="equal" dxfId="5" stopIfTrue="1">
      <formula>"Sat"</formula>
    </cfRule>
  </conditionalFormatting>
  <conditionalFormatting sqref="A45:BQ45 A46:BS46 A47:A59 A60:BR60 A61:A67 A68:BR75 A80:BR65509 D76:BR79 F61:BR67 G48:BR59 J24:AE24 J25:AN26 J26:M27 J27:BR27 J29:N31 J29:AQ29 J30:O30 J31:BR31 M24:N27 BS48:BS65510 BT46:XFD65509 BV45:XFD45">
    <cfRule type="cellIs" priority="318" operator="equal" dxfId="0" stopIfTrue="1">
      <formula>"Sun"</formula>
    </cfRule>
  </conditionalFormatting>
  <conditionalFormatting sqref="J22:AN23">
    <cfRule type="cellIs" priority="12" operator="equal" dxfId="0" stopIfTrue="1">
      <formula>"Sun"</formula>
    </cfRule>
  </conditionalFormatting>
  <conditionalFormatting sqref="J28:BR28">
    <cfRule type="cellIs" priority="14" operator="equal" dxfId="0" stopIfTrue="1">
      <formula>"Sun"</formula>
    </cfRule>
  </conditionalFormatting>
  <conditionalFormatting sqref="J32:BR36">
    <cfRule type="cellIs" priority="32" operator="equal" dxfId="0" stopIfTrue="1">
      <formula>"Sun"</formula>
    </cfRule>
  </conditionalFormatting>
  <conditionalFormatting sqref="J18:BS20">
    <cfRule type="cellIs" priority="301" operator="equal" dxfId="5" stopIfTrue="1">
      <formula>"Sat"</formula>
    </cfRule>
    <cfRule type="cellIs" priority="302" operator="equal" dxfId="0" stopIfTrue="1">
      <formula>"Sun"</formula>
    </cfRule>
  </conditionalFormatting>
  <conditionalFormatting sqref="J29:BS29">
    <cfRule type="cellIs" priority="2" operator="equal" dxfId="5" stopIfTrue="1">
      <formula>"Sat"</formula>
    </cfRule>
  </conditionalFormatting>
  <conditionalFormatting sqref="J22:BS28 J30:BS41">
    <cfRule type="cellIs" priority="9" operator="equal" dxfId="5" stopIfTrue="1">
      <formula>"Sat"</formula>
    </cfRule>
  </conditionalFormatting>
  <conditionalFormatting sqref="J37:BS41">
    <cfRule type="cellIs" priority="134" operator="equal" dxfId="0" stopIfTrue="1">
      <formula>"Sun"</formula>
    </cfRule>
  </conditionalFormatting>
  <conditionalFormatting sqref="A45:BQ45 A46:BS46 A47:A59 A60:BR60 A61:A67 A68:BR75 A80:BR65509 D76:BR79 F61:BR67 G48:BR59 J26:M27 J29:N31 M24:N27 BS48:BS65510 BT46:XFD65509 BV45:XFD45">
    <cfRule type="cellIs" priority="317" operator="equal" dxfId="5" stopIfTrue="1">
      <formula>"Sat"</formula>
    </cfRule>
  </conditionalFormatting>
  <conditionalFormatting sqref="P30:BR30">
    <cfRule type="cellIs" priority="10" operator="equal" dxfId="0" stopIfTrue="1">
      <formula>"Sun"</formula>
    </cfRule>
  </conditionalFormatting>
  <conditionalFormatting sqref="S28:T28">
    <cfRule type="cellIs" priority="4" operator="equal" dxfId="0" stopIfTrue="1">
      <formula>"Sun"</formula>
    </cfRule>
  </conditionalFormatting>
  <conditionalFormatting sqref="AF24:AN24">
    <cfRule type="cellIs" priority="116" operator="equal" dxfId="0" stopIfTrue="1">
      <formula>"Sun"</formula>
    </cfRule>
  </conditionalFormatting>
  <conditionalFormatting sqref="AL35:AM35">
    <cfRule type="cellIs" priority="6" operator="equal" dxfId="0" stopIfTrue="1">
      <formula>"Sun"</formula>
    </cfRule>
  </conditionalFormatting>
  <conditionalFormatting sqref="AO22:BR26">
    <cfRule type="cellIs" priority="30" operator="equal" dxfId="0" stopIfTrue="1">
      <formula>"Sun"</formula>
    </cfRule>
  </conditionalFormatting>
  <conditionalFormatting sqref="AP30:AQ30">
    <cfRule type="cellIs" priority="1" operator="equal" dxfId="0" stopIfTrue="1">
      <formula>"Sun"</formula>
    </cfRule>
  </conditionalFormatting>
  <conditionalFormatting sqref="AR37">
    <cfRule type="cellIs" priority="7" operator="equal" dxfId="0" stopIfTrue="1">
      <formula>"Sun"</formula>
    </cfRule>
  </conditionalFormatting>
  <conditionalFormatting sqref="AR29:BR29">
    <cfRule type="cellIs" priority="3" operator="equal" dxfId="0" stopIfTrue="1">
      <formula>"Sun"</formula>
    </cfRule>
  </conditionalFormatting>
  <conditionalFormatting sqref="AX36:AY36">
    <cfRule type="cellIs" priority="8" operator="equal" dxfId="0" stopIfTrue="1">
      <formula>"Sun"</formula>
    </cfRule>
  </conditionalFormatting>
  <conditionalFormatting sqref="BB37:BC37">
    <cfRule type="cellIs" priority="5" operator="equal" dxfId="0" stopIfTrue="1">
      <formula>"Sun"</formula>
    </cfRule>
  </conditionalFormatting>
  <conditionalFormatting sqref="BS22:BS36">
    <cfRule type="cellIs" priority="212"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3.xml><?xml version="1.0" encoding="utf-8"?>
<worksheet xmlns="http://schemas.openxmlformats.org/spreadsheetml/2006/main">
  <sheetPr>
    <tabColor indexed="51"/>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BH32" sqref="BH32"/>
    </sheetView>
  </sheetViews>
  <sheetFormatPr baseColWidth="8" defaultColWidth="8.90625" defaultRowHeight="13.5"/>
  <cols>
    <col width="1.08984375" customWidth="1" style="1" min="1" max="1"/>
    <col width="27" customWidth="1" style="1" min="2" max="2"/>
    <col width="12.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2.08984375" bestFit="1" customWidth="1" style="1" min="27" max="27"/>
    <col width="9.36328125" customWidth="1" style="1" min="28" max="28"/>
    <col width="12.6328125" bestFit="1" customWidth="1" style="1" min="29" max="29"/>
    <col width="8.90625" customWidth="1" style="1" min="30" max="30"/>
    <col width="12.08984375" bestFit="1" customWidth="1" style="1" min="31" max="31"/>
    <col width="8.90625" customWidth="1" style="1" min="32" max="34"/>
    <col width="10.6328125" bestFit="1" customWidth="1" style="1" min="35" max="35"/>
    <col width="8.90625" customWidth="1" style="1" min="36" max="36"/>
    <col width="10.6328125" bestFit="1" customWidth="1" style="1" min="37" max="37"/>
    <col width="8.90625" customWidth="1" style="1" min="38" max="38"/>
    <col width="10.6328125" bestFit="1" customWidth="1" style="1" min="39" max="39"/>
    <col width="8.90625" customWidth="1" style="1" min="40" max="40"/>
    <col width="10.6328125" bestFit="1" customWidth="1" style="1" min="41" max="41"/>
    <col width="8.90625" customWidth="1" style="1" min="42" max="42"/>
    <col width="12.08984375"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2</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t="n"/>
      <c r="BQ2" s="97" t="n"/>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n"/>
      <c r="BQ5" s="105" t="n"/>
      <c r="BR5" s="106" t="n"/>
      <c r="BS5" s="107" t="n"/>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471"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5"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1"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F18+Jan!F22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1"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71" t="n"/>
      <c r="BM37" s="479" t="n"/>
      <c r="BN37" s="371" t="n"/>
      <c r="BO37" s="480"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49" t="inlineStr">
        <is>
          <t>Trans date</t>
        </is>
      </c>
      <c r="D48" s="449" t="inlineStr">
        <is>
          <t>Post date</t>
        </is>
      </c>
      <c r="E48" s="62" t="n"/>
      <c r="F48" s="449"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62" t="n"/>
      <c r="C49" s="498" t="n"/>
      <c r="D49" s="498" t="n"/>
      <c r="E49" s="62" t="n"/>
      <c r="F49" s="62" t="n"/>
      <c r="G49" s="506" t="n"/>
    </row>
    <row r="50" ht="14" customHeight="1" s="304">
      <c r="B50" s="62" t="n"/>
      <c r="C50" s="498" t="n"/>
      <c r="D50" s="498" t="n"/>
      <c r="E50" s="62" t="n"/>
      <c r="F50" s="62" t="n"/>
      <c r="G50" s="506" t="n"/>
    </row>
    <row r="51" ht="14" customHeight="1" s="304">
      <c r="B51" s="62" t="n"/>
      <c r="C51" s="498" t="n"/>
      <c r="D51" s="498" t="n"/>
      <c r="E51" s="62" t="n"/>
      <c r="F51" s="62" t="n"/>
      <c r="G51" s="506" t="n"/>
    </row>
    <row r="52" ht="14" customHeight="1" s="304">
      <c r="B52" s="45" t="n"/>
      <c r="C52" s="500" t="n"/>
      <c r="D52" s="501" t="n"/>
      <c r="E52" s="48" t="n"/>
      <c r="F52" s="62" t="n"/>
      <c r="G52" s="506" t="n"/>
    </row>
    <row r="53" ht="14" customHeight="1" s="304">
      <c r="B53" s="45" t="n"/>
      <c r="C53" s="500" t="n"/>
      <c r="D53" s="501" t="n"/>
      <c r="E53" s="48" t="n"/>
      <c r="F53" s="62" t="n"/>
      <c r="G53" s="506" t="n"/>
    </row>
    <row r="54" ht="14" customHeight="1" s="304">
      <c r="B54" s="45" t="n"/>
      <c r="C54" s="500" t="n"/>
      <c r="D54" s="501" t="n"/>
      <c r="E54" s="48" t="n"/>
      <c r="F54" s="62" t="n"/>
      <c r="G54" s="506" t="n"/>
    </row>
    <row r="55" ht="14" customHeight="1" s="304">
      <c r="B55" s="45" t="n"/>
      <c r="C55" s="500" t="n"/>
      <c r="D55" s="501" t="n"/>
      <c r="E55" s="48" t="n"/>
      <c r="F55" s="62" t="n"/>
      <c r="G55" s="506" t="n"/>
    </row>
    <row r="56" ht="14" customHeight="1" s="304">
      <c r="B56" s="45" t="n"/>
      <c r="C56" s="500" t="n"/>
      <c r="D56" s="501" t="n"/>
      <c r="E56" s="48" t="n"/>
      <c r="F56" s="62" t="n"/>
      <c r="G56" s="506" t="n"/>
    </row>
    <row r="57" ht="14" customHeight="1" s="304">
      <c r="B57" s="62" t="n"/>
      <c r="C57" s="498" t="n"/>
      <c r="D57" s="498" t="n"/>
      <c r="E57" s="62" t="n"/>
      <c r="F57" s="62" t="n"/>
      <c r="G57" s="506" t="n"/>
    </row>
    <row r="58" ht="14" customHeight="1" s="304">
      <c r="B58" s="62" t="n"/>
      <c r="C58" s="498" t="n"/>
      <c r="D58" s="498" t="n"/>
      <c r="E58" s="62" t="n"/>
      <c r="F58" s="62" t="n"/>
      <c r="G58" s="506" t="n"/>
    </row>
    <row r="59" ht="14" customHeight="1" s="304">
      <c r="B59" s="62" t="n"/>
      <c r="C59" s="498" t="n"/>
      <c r="D59" s="498" t="n"/>
      <c r="E59" s="62" t="n"/>
      <c r="F59" s="62" t="n"/>
      <c r="G59" s="506" t="n"/>
    </row>
    <row r="60" ht="14" customHeight="1" s="304">
      <c r="B60" s="62" t="n"/>
      <c r="C60" s="498" t="n"/>
      <c r="D60" s="498" t="n"/>
      <c r="E60" s="62" t="n"/>
      <c r="F60" s="62" t="n"/>
      <c r="G60" s="506" t="n"/>
    </row>
    <row r="61" ht="14" customHeight="1" s="304">
      <c r="C61" s="502" t="n"/>
      <c r="D61" s="503" t="n"/>
      <c r="G61" s="499" t="n"/>
    </row>
    <row r="62">
      <c r="C62" s="502" t="n"/>
      <c r="D62" s="502" t="n"/>
      <c r="G62" s="499" t="n"/>
    </row>
    <row r="63">
      <c r="C63" s="502" t="n"/>
      <c r="D63" s="502" t="n"/>
      <c r="G63" s="499" t="n"/>
    </row>
    <row r="64" ht="14" customHeight="1" s="304">
      <c r="B64" s="170" t="n"/>
      <c r="C64" s="501" t="n"/>
      <c r="D64" s="502" t="n"/>
      <c r="G64" s="499" t="n"/>
    </row>
    <row r="65">
      <c r="C65" s="502" t="n"/>
      <c r="D65" s="502" t="n"/>
      <c r="G65" s="499" t="n"/>
    </row>
    <row r="66">
      <c r="C66" s="502" t="n"/>
      <c r="D66" s="502" t="n"/>
      <c r="G66" s="499" t="n"/>
    </row>
    <row r="67">
      <c r="C67" s="502" t="n"/>
      <c r="D67" s="502" t="n"/>
      <c r="G67" s="499" t="n"/>
    </row>
    <row r="68">
      <c r="C68" s="502" t="n"/>
      <c r="D68" s="502" t="n"/>
      <c r="G68" s="499" t="n"/>
    </row>
    <row r="69">
      <c r="C69" s="502" t="n"/>
      <c r="D69" s="502" t="n"/>
      <c r="G69" s="499" t="n"/>
    </row>
    <row r="70" ht="14" customHeight="1" s="304">
      <c r="B70" s="170" t="n"/>
      <c r="C70" s="502" t="n"/>
      <c r="D70" s="502" t="n"/>
      <c r="G70" s="499" t="n"/>
    </row>
    <row r="71">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c r="C76" s="502"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B47:I47"/>
    <mergeCell ref="B150:I150"/>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AB3:AC3"/>
    <mergeCell ref="AR4:AS4"/>
    <mergeCell ref="X3:Y3"/>
    <mergeCell ref="I22:I27"/>
    <mergeCell ref="AT4:AU4"/>
    <mergeCell ref="AZ4:BA4"/>
    <mergeCell ref="Z3:AA3"/>
    <mergeCell ref="AV4:AW4"/>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44 A45:XFD45 A46:A61 A62:XFD63 A64 A65:XFD74 A75:A78 A79:XFD65508 B5:H5 B6:G7 B12:E17 B35:E44 B76:C78 D11:E11 D61:XFD61 D64:XFD64 D75:XFD78 E18:E21 E23:E24 E25:F26 E27:E34 F11:G14 F17:G17 F18 F20:G21 F40:G44 H6:H44 H47:XFD60 I2 I5:I6 I9 I42:I44 J5:BS16 BT1:IV44">
    <cfRule type="cellIs" priority="624" operator="equal" dxfId="0" stopIfTrue="1">
      <formula>"Sun"</formula>
    </cfRule>
  </conditionalFormatting>
  <conditionalFormatting sqref="A1:H2 A3:I4 A5:A44 A45:XFD45 A46:A61 A62:XFD63 A64 A65:XFD74 A75:A78 A79:XFD65508 B5:H5 B35:E44 B76:C78 D61:XFD61 D64:XFD64 D75:XFD78 E18:E21 E23:E24 E25:F26 E27:E34 F11:G14 F17:G17 F18 F20:G21 F40:G44 H6:H44 H47:XFD60 I2 I5:I6 I9 J5:BS16 BT1:IV44">
    <cfRule type="cellIs" priority="623" operator="equal" dxfId="5" stopIfTrue="1">
      <formula>"Sat"</formula>
    </cfRule>
  </conditionalFormatting>
  <conditionalFormatting sqref="B8:B10">
    <cfRule type="cellIs" priority="510" operator="equal" dxfId="0" stopIfTrue="1">
      <formula>"Sun"</formula>
    </cfRule>
  </conditionalFormatting>
  <conditionalFormatting sqref="B11">
    <cfRule type="cellIs" priority="512" operator="equal" dxfId="0" stopIfTrue="1">
      <formula>"Sun"</formula>
    </cfRule>
  </conditionalFormatting>
  <conditionalFormatting sqref="B18:B34">
    <cfRule type="cellIs" priority="375" operator="equal" dxfId="5" stopIfTrue="1">
      <formula>"Sat"</formula>
    </cfRule>
    <cfRule type="cellIs" priority="376" operator="equal" dxfId="0" stopIfTrue="1">
      <formula>"Sun"</formula>
    </cfRule>
  </conditionalFormatting>
  <conditionalFormatting sqref="B11:E17">
    <cfRule type="cellIs" priority="511" operator="equal" dxfId="5" stopIfTrue="1">
      <formula>"Sat"</formula>
    </cfRule>
  </conditionalFormatting>
  <conditionalFormatting sqref="B6:G10">
    <cfRule type="cellIs" priority="509" operator="equal" dxfId="5" stopIfTrue="1">
      <formula>"Sat"</formula>
    </cfRule>
  </conditionalFormatting>
  <conditionalFormatting sqref="B46:XFD46">
    <cfRule type="cellIs" priority="450" operator="equal" dxfId="0" stopIfTrue="1">
      <formula>"Sun"</formula>
    </cfRule>
    <cfRule type="cellIs" priority="449" operator="equal" dxfId="5" stopIfTrue="1">
      <formula>"Sat"</formula>
    </cfRule>
  </conditionalFormatting>
  <conditionalFormatting sqref="C8:C11">
    <cfRule type="cellIs" priority="592" operator="equal" dxfId="0" stopIfTrue="1">
      <formula>"Sun"</formula>
    </cfRule>
  </conditionalFormatting>
  <conditionalFormatting sqref="C26:C27">
    <cfRule type="cellIs" priority="13" operator="equal" dxfId="5" stopIfTrue="1">
      <formula>"Sat"</formula>
    </cfRule>
    <cfRule type="cellIs" priority="14" operator="equal" dxfId="0" stopIfTrue="1">
      <formula>"Sun"</formula>
    </cfRule>
  </conditionalFormatting>
  <conditionalFormatting sqref="C29:C30">
    <cfRule type="cellIs" priority="11" operator="equal" dxfId="5" stopIfTrue="1">
      <formula>"Sat"</formula>
    </cfRule>
    <cfRule type="cellIs" priority="12" operator="equal" dxfId="0" stopIfTrue="1">
      <formula>"Sun"</formula>
    </cfRule>
  </conditionalFormatting>
  <conditionalFormatting sqref="C18:D19">
    <cfRule type="cellIs" priority="19" operator="equal" dxfId="5" stopIfTrue="1">
      <formula>"Sat"</formula>
    </cfRule>
    <cfRule type="cellIs" priority="20" operator="equal" dxfId="0" stopIfTrue="1">
      <formula>"Sun"</formula>
    </cfRule>
  </conditionalFormatting>
  <conditionalFormatting sqref="C21:D21">
    <cfRule type="cellIs" priority="2" operator="equal" dxfId="0" stopIfTrue="1">
      <formula>"Sun"</formula>
    </cfRule>
    <cfRule type="cellIs" priority="1" operator="equal" dxfId="5" stopIfTrue="1">
      <formula>"Sat"</formula>
    </cfRule>
  </conditionalFormatting>
  <conditionalFormatting sqref="C24:D24">
    <cfRule type="cellIs" priority="16" operator="equal" dxfId="0" stopIfTrue="1">
      <formula>"Sun"</formula>
    </cfRule>
    <cfRule type="cellIs" priority="15" operator="equal" dxfId="5" stopIfTrue="1">
      <formula>"Sat"</formula>
    </cfRule>
  </conditionalFormatting>
  <conditionalFormatting sqref="C31:D34">
    <cfRule type="cellIs" priority="38" operator="equal" dxfId="0" stopIfTrue="1">
      <formula>"Sun"</formula>
    </cfRule>
    <cfRule type="cellIs" priority="37" operator="equal" dxfId="5" stopIfTrue="1">
      <formula>"Sat"</formula>
    </cfRule>
  </conditionalFormatting>
  <conditionalFormatting sqref="C22:F22">
    <cfRule type="cellIs" priority="26" operator="equal" dxfId="0" stopIfTrue="1">
      <formula>"Sun"</formula>
    </cfRule>
    <cfRule type="cellIs" priority="25" operator="equal" dxfId="5" stopIfTrue="1">
      <formula>"Sat"</formula>
    </cfRule>
  </conditionalFormatting>
  <conditionalFormatting sqref="D26:D28">
    <cfRule type="cellIs" priority="36" operator="equal" dxfId="0" stopIfTrue="1">
      <formula>"Sun"</formula>
    </cfRule>
    <cfRule type="cellIs" priority="35" operator="equal" dxfId="5" stopIfTrue="1">
      <formula>"Sat"</formula>
    </cfRule>
  </conditionalFormatting>
  <conditionalFormatting sqref="D8:G10">
    <cfRule type="cellIs" priority="602" operator="equal" dxfId="0" stopIfTrue="1">
      <formula>"Sun"</formula>
    </cfRule>
  </conditionalFormatting>
  <conditionalFormatting sqref="I20:I37">
    <cfRule type="cellIs" priority="561" operator="equal" dxfId="5" stopIfTrue="1">
      <formula>"Sat"</formula>
    </cfRule>
    <cfRule type="cellIs" priority="562" operator="equal" dxfId="0" stopIfTrue="1">
      <formula>"Sun"</formula>
    </cfRule>
  </conditionalFormatting>
  <conditionalFormatting sqref="I17:BS17">
    <cfRule type="cellIs" priority="126" operator="equal" dxfId="0" stopIfTrue="1">
      <formula>"Sun"</formula>
    </cfRule>
    <cfRule type="cellIs" priority="125" operator="equal" dxfId="5" stopIfTrue="1">
      <formula>"Sat"</formula>
    </cfRule>
  </conditionalFormatting>
  <conditionalFormatting sqref="I42:BS44">
    <cfRule type="cellIs" priority="139" operator="equal" dxfId="5" stopIfTrue="1">
      <formula>"Sat"</formula>
    </cfRule>
  </conditionalFormatting>
  <conditionalFormatting sqref="J18:BS38">
    <cfRule type="cellIs" priority="4" operator="equal" dxfId="0" stopIfTrue="1">
      <formula>"Sun"</formula>
    </cfRule>
  </conditionalFormatting>
  <conditionalFormatting sqref="J18:BS41">
    <cfRule type="cellIs" priority="3" operator="equal" dxfId="5" stopIfTrue="1">
      <formula>"Sat"</formula>
    </cfRule>
  </conditionalFormatting>
  <conditionalFormatting sqref="J39:BS44">
    <cfRule type="cellIs" priority="140"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4.xml><?xml version="1.0" encoding="utf-8"?>
<worksheet xmlns="http://schemas.openxmlformats.org/spreadsheetml/2006/main">
  <sheetPr>
    <tabColor indexed="53"/>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J32" sqref="J32"/>
    </sheetView>
  </sheetViews>
  <sheetFormatPr baseColWidth="8" defaultColWidth="8.90625" defaultRowHeight="13.5"/>
  <cols>
    <col width="5" customWidth="1" style="54" min="1" max="1"/>
    <col width="27" customWidth="1" style="1" min="2" max="2"/>
    <col width="12.7265625" bestFit="1" customWidth="1" style="1" min="3" max="3"/>
    <col width="14" bestFit="1" customWidth="1" style="1" min="4" max="4"/>
    <col width="1.6328125" customWidth="1" style="1" min="5" max="5"/>
    <col width="29" customWidth="1" style="1" min="6" max="6"/>
    <col width="10.08984375" bestFit="1" customWidth="1" style="1" min="7" max="7"/>
    <col width="1.6328125" bestFit="1" customWidth="1" style="1" min="8" max="8"/>
    <col width="25" customWidth="1" style="1" min="9" max="9"/>
    <col width="10.08984375" customWidth="1" style="1" min="10" max="10"/>
    <col width="13.08984375" bestFit="1" customWidth="1" style="1" min="11" max="11"/>
    <col width="10.08984375" customWidth="1" style="1" min="12" max="12"/>
    <col width="12"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5.08984375" bestFit="1"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4"/>
    <col width="10.6328125" bestFit="1" customWidth="1" style="1" min="35" max="35"/>
    <col width="8.90625" customWidth="1" style="1" min="36" max="36"/>
    <col width="11.6328125" bestFit="1" customWidth="1" style="1" min="37" max="37"/>
    <col width="9.7265625" bestFit="1" customWidth="1" style="1" min="38" max="38"/>
    <col width="10.6328125" bestFit="1" customWidth="1" style="1" min="39" max="39"/>
    <col width="8.90625" customWidth="1" style="1" min="40" max="40"/>
    <col width="10.6328125" bestFit="1" customWidth="1" style="1" min="41" max="41"/>
    <col width="8.90625" customWidth="1" style="1" min="42" max="42"/>
    <col width="10.6328125" bestFit="1" customWidth="1" style="1" min="43" max="43"/>
    <col width="8.90625" customWidth="1" style="1" min="44" max="44"/>
    <col width="11"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3</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9.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A8" s="173" t="n"/>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A9" s="173" t="n"/>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A10" s="173" t="n"/>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A11" s="173" t="n"/>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A12" s="173" t="n"/>
      <c r="B12" s="365" t="inlineStr">
        <is>
          <t>Total Income</t>
        </is>
      </c>
      <c r="C12" s="171">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A13" s="173" t="n"/>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A14" s="173" t="n"/>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A15" s="173" t="n"/>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A16" s="173" t="n"/>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A17" s="173" t="n"/>
      <c r="B17" s="133" t="inlineStr">
        <is>
          <t>Item</t>
        </is>
      </c>
      <c r="C17" s="134" t="inlineStr">
        <is>
          <t>Amount</t>
        </is>
      </c>
      <c r="D17" s="135" t="inlineStr">
        <is>
          <t>Date Paid</t>
        </is>
      </c>
      <c r="F17" s="132" t="inlineStr">
        <is>
          <t>Balance This Month</t>
        </is>
      </c>
      <c r="I17" s="324" t="inlineStr">
        <is>
          <t>Snacks &amp; Groceries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A18" s="173" t="n"/>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A19" s="173" t="n"/>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A20" s="173" t="n"/>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A21" s="173" t="n"/>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A22" s="173" t="n"/>
      <c r="B22" s="138" t="inlineStr">
        <is>
          <t>Mobile Phone</t>
        </is>
      </c>
      <c r="C22" s="479" t="n"/>
      <c r="D22" s="481" t="n"/>
      <c r="F22" s="320">
        <f>F18+Feb!F22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A23" s="173" t="n"/>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71"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A24" s="173" t="n"/>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A25" s="173" t="n"/>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A26" s="173" t="n"/>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A27" s="173" t="n"/>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A28" s="173" t="n"/>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A29" s="173" t="n"/>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A30" s="173" t="n"/>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A31" s="173" t="n"/>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8" customFormat="1" customHeight="1" s="4">
      <c r="A32" s="173" t="n"/>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1"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A33" s="173" t="n"/>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A34" s="173" t="n"/>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A35" s="173" t="n"/>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A36" s="173" t="n"/>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A37" s="173" t="n"/>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A38" s="173" t="n"/>
      <c r="B38" s="153" t="n"/>
      <c r="C38" s="492" t="n"/>
      <c r="D38" s="149" t="n"/>
      <c r="F38" s="328" t="n"/>
      <c r="G38" s="329" t="n"/>
      <c r="I38" s="141" t="n"/>
      <c r="J38" s="369" t="n"/>
      <c r="K38" s="479" t="n"/>
      <c r="L38" s="371" t="n"/>
      <c r="M38" s="479" t="n"/>
      <c r="N38" s="371" t="n"/>
      <c r="O38" s="479" t="n"/>
      <c r="P38" s="370"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A39" s="173" t="n"/>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A40" s="173" t="n"/>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A41" s="173" t="n"/>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A42" s="173" t="n"/>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A43" s="173" t="n"/>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A44" s="173"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row>
    <row r="46" ht="14" customHeight="1" s="304">
      <c r="B46" s="176" t="n"/>
      <c r="C46" s="176" t="n"/>
      <c r="D46" s="176" t="n"/>
      <c r="E46" s="176" t="n"/>
      <c r="F46" s="176" t="n"/>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49" t="inlineStr">
        <is>
          <t>Trans date</t>
        </is>
      </c>
      <c r="D48" s="449" t="inlineStr">
        <is>
          <t>Post date</t>
        </is>
      </c>
      <c r="E48" s="62" t="n"/>
      <c r="F48" s="449"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62" t="n"/>
      <c r="C49" s="498" t="n"/>
      <c r="D49" s="498" t="n"/>
      <c r="E49" s="62" t="n"/>
      <c r="F49" s="62" t="n"/>
      <c r="G49" s="499" t="n"/>
      <c r="M49" s="166" t="n"/>
    </row>
    <row r="50" ht="14" customHeight="1" s="304">
      <c r="B50" s="62" t="n"/>
      <c r="C50" s="498" t="n"/>
      <c r="D50" s="498" t="n"/>
      <c r="E50" s="62" t="n"/>
      <c r="F50" s="62" t="n"/>
      <c r="G50" s="499" t="n"/>
    </row>
    <row r="51" ht="14" customHeight="1" s="304">
      <c r="B51" s="45" t="n"/>
      <c r="C51" s="500" t="n"/>
      <c r="D51" s="501" t="n"/>
      <c r="E51" s="62" t="n"/>
      <c r="F51" s="62" t="n"/>
      <c r="G51" s="499" t="n"/>
    </row>
    <row r="52" ht="14" customHeight="1" s="304">
      <c r="B52" s="45" t="n"/>
      <c r="C52" s="500" t="n"/>
      <c r="D52" s="501" t="n"/>
      <c r="E52" s="48" t="n"/>
      <c r="F52" s="62" t="n"/>
      <c r="G52" s="499" t="n"/>
    </row>
    <row r="53" ht="14" customHeight="1" s="304">
      <c r="B53" s="45" t="n"/>
      <c r="C53" s="500" t="n"/>
      <c r="D53" s="501" t="n"/>
      <c r="E53" s="48" t="n"/>
      <c r="F53" s="62" t="n"/>
      <c r="G53" s="499" t="n"/>
    </row>
    <row r="54" ht="14" customHeight="1" s="304">
      <c r="B54" s="45" t="n"/>
      <c r="C54" s="500" t="n"/>
      <c r="D54" s="501" t="n"/>
      <c r="E54" s="48" t="n"/>
      <c r="F54" s="62" t="n"/>
      <c r="G54" s="499" t="n"/>
    </row>
    <row r="55" ht="14" customHeight="1" s="304">
      <c r="B55" s="45" t="n"/>
      <c r="C55" s="500" t="n"/>
      <c r="D55" s="501" t="n"/>
      <c r="E55" s="48" t="n"/>
      <c r="F55" s="62" t="n"/>
      <c r="G55" s="499" t="n"/>
    </row>
    <row r="56" ht="14" customHeight="1" s="304">
      <c r="B56" s="45" t="n"/>
      <c r="C56" s="500" t="n"/>
      <c r="D56" s="501" t="n"/>
      <c r="E56" s="48" t="n"/>
      <c r="F56" s="62" t="n"/>
      <c r="G56" s="499" t="n"/>
    </row>
    <row r="57" ht="14" customHeight="1" s="304">
      <c r="B57" s="62" t="n"/>
      <c r="C57" s="498" t="n"/>
      <c r="D57" s="498" t="n"/>
      <c r="E57" s="62" t="n"/>
      <c r="F57" s="62" t="n"/>
      <c r="G57" s="499" t="n"/>
    </row>
    <row r="58" ht="14" customHeight="1" s="304">
      <c r="B58" s="62" t="n"/>
      <c r="C58" s="498" t="n"/>
      <c r="D58" s="498" t="n"/>
      <c r="E58" s="62" t="n"/>
      <c r="F58" s="62" t="n"/>
      <c r="G58" s="499" t="n"/>
    </row>
    <row r="59" ht="14" customHeight="1" s="304">
      <c r="B59" s="62" t="n"/>
      <c r="C59" s="498" t="n"/>
      <c r="D59" s="498" t="n"/>
      <c r="E59" s="62" t="n"/>
      <c r="F59" s="62" t="n"/>
      <c r="G59" s="499" t="n"/>
    </row>
    <row r="60" ht="14" customHeight="1" s="304">
      <c r="B60" s="62" t="n"/>
      <c r="C60" s="498" t="n"/>
      <c r="D60" s="498" t="n"/>
      <c r="E60" s="62" t="n"/>
      <c r="F60" s="62" t="n"/>
      <c r="G60" s="499" t="n"/>
    </row>
    <row r="61">
      <c r="C61" s="502" t="n"/>
      <c r="D61" s="502" t="n"/>
      <c r="G61" s="499" t="n"/>
    </row>
    <row r="62">
      <c r="C62" s="502" t="n"/>
      <c r="D62" s="502" t="n"/>
      <c r="G62" s="499" t="n"/>
    </row>
    <row r="63">
      <c r="C63" s="502" t="n"/>
      <c r="D63" s="502" t="n"/>
      <c r="G63" s="499" t="n"/>
    </row>
    <row r="64">
      <c r="C64" s="502" t="n"/>
      <c r="D64" s="502" t="n"/>
      <c r="G64" s="499" t="n"/>
    </row>
    <row r="65">
      <c r="C65" s="502" t="n"/>
      <c r="D65" s="502" t="n"/>
      <c r="G65" s="499" t="n"/>
    </row>
    <row r="66">
      <c r="C66" s="502" t="n"/>
      <c r="D66" s="502" t="n"/>
      <c r="G66" s="499" t="n"/>
    </row>
    <row r="67">
      <c r="C67" s="502" t="n"/>
      <c r="D67" s="502" t="n"/>
      <c r="G67" s="499" t="n"/>
    </row>
    <row r="68">
      <c r="C68" s="502" t="n"/>
      <c r="D68" s="502" t="n"/>
      <c r="G68" s="499" t="n"/>
    </row>
    <row r="69">
      <c r="C69" s="502" t="n"/>
      <c r="D69" s="502" t="n"/>
      <c r="G69" s="499" t="n"/>
    </row>
    <row r="70">
      <c r="C70" s="502" t="n"/>
      <c r="D70" s="502" t="n"/>
      <c r="G70" s="499" t="n"/>
    </row>
    <row r="71">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c r="C76" s="502"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I30:I31"/>
    <mergeCell ref="AF3:AG3"/>
    <mergeCell ref="AD3:AE3"/>
    <mergeCell ref="AX4:AY4"/>
    <mergeCell ref="F22:G23"/>
    <mergeCell ref="BH4:BI4"/>
    <mergeCell ref="AN3:AO3"/>
    <mergeCell ref="AH3:AI3"/>
    <mergeCell ref="BJ4:BK4"/>
    <mergeCell ref="AP3:AQ3"/>
    <mergeCell ref="BB3:BC3"/>
    <mergeCell ref="I17:I19"/>
    <mergeCell ref="B47:I47"/>
    <mergeCell ref="B150:I150"/>
    <mergeCell ref="R4:S4"/>
    <mergeCell ref="AB4:AC4"/>
    <mergeCell ref="T4:U4"/>
    <mergeCell ref="AT3:AU3"/>
    <mergeCell ref="L3:M3"/>
    <mergeCell ref="BF3:BG3"/>
    <mergeCell ref="BD3:BE3"/>
    <mergeCell ref="BP4:BQ4"/>
    <mergeCell ref="AN4:AO4"/>
    <mergeCell ref="AH4:AI4"/>
    <mergeCell ref="BH3:BI3"/>
    <mergeCell ref="BN3:BO3"/>
    <mergeCell ref="AV3:AW3"/>
    <mergeCell ref="BP3:BQ3"/>
    <mergeCell ref="BR3:BS3"/>
    <mergeCell ref="N3:O3"/>
    <mergeCell ref="AP4:AQ4"/>
    <mergeCell ref="AB3:AC3"/>
    <mergeCell ref="X3:Y3"/>
    <mergeCell ref="AR4:AS4"/>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AJ4:AK4"/>
    <mergeCell ref="BJ3:BK3"/>
    <mergeCell ref="AL4:AM4"/>
    <mergeCell ref="Z4:AA4"/>
    <mergeCell ref="BL3:BM3"/>
    <mergeCell ref="AZ3:BA3"/>
    <mergeCell ref="AX3:AY3"/>
    <mergeCell ref="P3:Q3"/>
    <mergeCell ref="F18:G19"/>
    <mergeCell ref="AR3:AS3"/>
    <mergeCell ref="V4:W4"/>
    <mergeCell ref="T3:U3"/>
    <mergeCell ref="AD4:AE4"/>
    <mergeCell ref="V3:W3"/>
    <mergeCell ref="N4:O4"/>
  </mergeCells>
  <conditionalFormatting sqref="A5:A60 A61:XFD65423">
    <cfRule type="cellIs" priority="652" operator="equal" dxfId="0" stopIfTrue="1">
      <formula>"Sun"</formula>
    </cfRule>
    <cfRule type="cellIs" priority="651" operator="equal" dxfId="5" stopIfTrue="1">
      <formula>"Sat"</formula>
    </cfRule>
  </conditionalFormatting>
  <conditionalFormatting sqref="A1:H2 A3:I4 B5:H5 B35:E44 E18:E21 E23:E24 E25:F26 E27:E34 F6:G14 F17:G17 F18 F20:G21 F40:G44 H6:H44 I2 I5:I6 I9 I42:I44 J5:BS16 BT1:IV44">
    <cfRule type="cellIs" priority="656" operator="equal" dxfId="0" stopIfTrue="1">
      <formula>"Sun"</formula>
    </cfRule>
  </conditionalFormatting>
  <conditionalFormatting sqref="A1:H2 A3:I4 B5:H5 B35:E44 E18:E21 E23:E24 E25:F26 E27:E34 F6:G14 F17:G17 F18 F20:G21 F40:G44 H6:H44 I2 I5:I6 I9 J5:BS16 BT1:IV44">
    <cfRule type="cellIs" priority="655" operator="equal" dxfId="5" stopIfTrue="1">
      <formula>"Sat"</formula>
    </cfRule>
  </conditionalFormatting>
  <conditionalFormatting sqref="B18:B34">
    <cfRule type="cellIs" priority="410" operator="equal" dxfId="0" stopIfTrue="1">
      <formula>"Sun"</formula>
    </cfRule>
    <cfRule type="cellIs" priority="409" operator="equal" dxfId="5" stopIfTrue="1">
      <formula>"Sat"</formula>
    </cfRule>
  </conditionalFormatting>
  <conditionalFormatting sqref="B6:E17">
    <cfRule type="cellIs" priority="534" operator="equal" dxfId="0" stopIfTrue="1">
      <formula>"Sun"</formula>
    </cfRule>
    <cfRule type="cellIs" priority="533" operator="equal" dxfId="5" stopIfTrue="1">
      <formula>"Sat"</formula>
    </cfRule>
  </conditionalFormatting>
  <conditionalFormatting sqref="B45:F46">
    <cfRule type="cellIs" priority="474" operator="equal" dxfId="0" stopIfTrue="1">
      <formula>"Sun"</formula>
    </cfRule>
    <cfRule type="cellIs" priority="473" operator="equal" dxfId="5" stopIfTrue="1">
      <formula>"Sat"</formula>
    </cfRule>
  </conditionalFormatting>
  <conditionalFormatting sqref="C26:C27">
    <cfRule type="cellIs" priority="15" operator="equal" dxfId="5" stopIfTrue="1">
      <formula>"Sat"</formula>
    </cfRule>
    <cfRule type="cellIs" priority="16" operator="equal" dxfId="0" stopIfTrue="1">
      <formula>"Sun"</formula>
    </cfRule>
  </conditionalFormatting>
  <conditionalFormatting sqref="C29:C30">
    <cfRule type="cellIs" priority="13" operator="equal" dxfId="5" stopIfTrue="1">
      <formula>"Sat"</formula>
    </cfRule>
    <cfRule type="cellIs" priority="14" operator="equal" dxfId="0" stopIfTrue="1">
      <formula>"Sun"</formula>
    </cfRule>
  </conditionalFormatting>
  <conditionalFormatting sqref="C18:D19">
    <cfRule type="cellIs" priority="27" operator="equal" dxfId="5" stopIfTrue="1">
      <formula>"Sat"</formula>
    </cfRule>
    <cfRule type="cellIs" priority="28" operator="equal" dxfId="0" stopIfTrue="1">
      <formula>"Sun"</formula>
    </cfRule>
  </conditionalFormatting>
  <conditionalFormatting sqref="C21:D21">
    <cfRule type="cellIs" priority="1" operator="equal" dxfId="5" stopIfTrue="1">
      <formula>"Sat"</formula>
    </cfRule>
    <cfRule type="cellIs" priority="2" operator="equal" dxfId="0" stopIfTrue="1">
      <formula>"Sun"</formula>
    </cfRule>
  </conditionalFormatting>
  <conditionalFormatting sqref="C24:D24">
    <cfRule type="cellIs" priority="18" operator="equal" dxfId="0" stopIfTrue="1">
      <formula>"Sun"</formula>
    </cfRule>
    <cfRule type="cellIs" priority="17" operator="equal" dxfId="5" stopIfTrue="1">
      <formula>"Sat"</formula>
    </cfRule>
  </conditionalFormatting>
  <conditionalFormatting sqref="C31:D34">
    <cfRule type="cellIs" priority="43" operator="equal" dxfId="5" stopIfTrue="1">
      <formula>"Sat"</formula>
    </cfRule>
    <cfRule type="cellIs" priority="44" operator="equal" dxfId="0" stopIfTrue="1">
      <formula>"Sun"</formula>
    </cfRule>
  </conditionalFormatting>
  <conditionalFormatting sqref="C22:F22">
    <cfRule type="cellIs" priority="32" operator="equal" dxfId="0" stopIfTrue="1">
      <formula>"Sun"</formula>
    </cfRule>
    <cfRule type="cellIs" priority="31" operator="equal" dxfId="5" stopIfTrue="1">
      <formula>"Sat"</formula>
    </cfRule>
  </conditionalFormatting>
  <conditionalFormatting sqref="D26:D28">
    <cfRule type="cellIs" priority="42" operator="equal" dxfId="0" stopIfTrue="1">
      <formula>"Sun"</formula>
    </cfRule>
    <cfRule type="cellIs" priority="41" operator="equal" dxfId="5" stopIfTrue="1">
      <formula>"Sat"</formula>
    </cfRule>
  </conditionalFormatting>
  <conditionalFormatting sqref="G45:XFD60">
    <cfRule type="cellIs" priority="193" operator="equal" dxfId="5" stopIfTrue="1">
      <formula>"Sat"</formula>
    </cfRule>
    <cfRule type="cellIs" priority="194" operator="equal" dxfId="0" stopIfTrue="1">
      <formula>"Sun"</formula>
    </cfRule>
  </conditionalFormatting>
  <conditionalFormatting sqref="I20:I37">
    <cfRule type="cellIs" priority="593" operator="equal" dxfId="5" stopIfTrue="1">
      <formula>"Sat"</formula>
    </cfRule>
    <cfRule type="cellIs" priority="594" operator="equal" dxfId="0" stopIfTrue="1">
      <formula>"Sun"</formula>
    </cfRule>
  </conditionalFormatting>
  <conditionalFormatting sqref="I17:BS17">
    <cfRule type="cellIs" priority="24" operator="equal" dxfId="0" stopIfTrue="1">
      <formula>"Sun"</formula>
    </cfRule>
    <cfRule type="cellIs" priority="23" operator="equal" dxfId="5" stopIfTrue="1">
      <formula>"Sat"</formula>
    </cfRule>
  </conditionalFormatting>
  <conditionalFormatting sqref="I42:BS44">
    <cfRule type="cellIs" priority="143" operator="equal" dxfId="5" stopIfTrue="1">
      <formula>"Sat"</formula>
    </cfRule>
  </conditionalFormatting>
  <conditionalFormatting sqref="J22:AO26">
    <cfRule type="cellIs" priority="10" operator="equal" dxfId="0" stopIfTrue="1">
      <formula>"Sun"</formula>
    </cfRule>
    <cfRule type="cellIs" priority="9" operator="equal" dxfId="5" stopIfTrue="1">
      <formula>"Sat"</formula>
    </cfRule>
  </conditionalFormatting>
  <conditionalFormatting sqref="J27:BR36">
    <cfRule type="cellIs" priority="20" operator="equal" dxfId="0" stopIfTrue="1">
      <formula>"Sun"</formula>
    </cfRule>
    <cfRule type="cellIs" priority="19" operator="equal" dxfId="5" stopIfTrue="1">
      <formula>"Sat"</formula>
    </cfRule>
  </conditionalFormatting>
  <conditionalFormatting sqref="J18:BS21">
    <cfRule type="cellIs" priority="5" operator="equal" dxfId="5" stopIfTrue="1">
      <formula>"Sat"</formula>
    </cfRule>
    <cfRule type="cellIs" priority="6" operator="equal" dxfId="0" stopIfTrue="1">
      <formula>"Sun"</formula>
    </cfRule>
  </conditionalFormatting>
  <conditionalFormatting sqref="J37:BS38">
    <cfRule type="cellIs" priority="132" operator="equal" dxfId="0" stopIfTrue="1">
      <formula>"Sun"</formula>
    </cfRule>
  </conditionalFormatting>
  <conditionalFormatting sqref="J37:BS41">
    <cfRule type="cellIs" priority="131" operator="equal" dxfId="5" stopIfTrue="1">
      <formula>"Sat"</formula>
    </cfRule>
  </conditionalFormatting>
  <conditionalFormatting sqref="J39:BS44">
    <cfRule type="cellIs" priority="144" operator="equal" dxfId="0" stopIfTrue="1">
      <formula>"Sun"</formula>
    </cfRule>
  </conditionalFormatting>
  <conditionalFormatting sqref="AP22:AP25 AP26:BR26">
    <cfRule type="cellIs" priority="175" operator="equal" dxfId="5" stopIfTrue="1">
      <formula>"Sat"</formula>
    </cfRule>
    <cfRule type="cellIs" priority="176" operator="equal" dxfId="0" stopIfTrue="1">
      <formula>"Sun"</formula>
    </cfRule>
  </conditionalFormatting>
  <conditionalFormatting sqref="AQ23:BR25">
    <cfRule type="cellIs" priority="3" operator="equal" dxfId="5" stopIfTrue="1">
      <formula>"Sat"</formula>
    </cfRule>
    <cfRule type="cellIs" priority="4" operator="equal" dxfId="0" stopIfTrue="1">
      <formula>"Sun"</formula>
    </cfRule>
  </conditionalFormatting>
  <conditionalFormatting sqref="AQ22:BS22">
    <cfRule type="cellIs" priority="139" operator="equal" dxfId="5" stopIfTrue="1">
      <formula>"Sat"</formula>
    </cfRule>
    <cfRule type="cellIs" priority="140" operator="equal" dxfId="0" stopIfTrue="1">
      <formula>"Sun"</formula>
    </cfRule>
  </conditionalFormatting>
  <conditionalFormatting sqref="BS23:BS36">
    <cfRule type="cellIs" priority="153" operator="equal" dxfId="5" stopIfTrue="1">
      <formula>"Sat"</formula>
    </cfRule>
    <cfRule type="cellIs" priority="15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5.xml><?xml version="1.0" encoding="utf-8"?>
<worksheet xmlns="http://schemas.openxmlformats.org/spreadsheetml/2006/main">
  <sheetPr>
    <tabColor indexed="59"/>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2.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3.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3.08984375" bestFit="1" customWidth="1" style="1" min="31" max="31"/>
    <col width="8.90625" customWidth="1" style="1" min="32" max="32"/>
    <col width="11" bestFit="1" customWidth="1" style="1" min="33" max="33"/>
    <col width="8.90625" customWidth="1" style="1" min="34" max="36"/>
    <col width="12.6328125" bestFit="1" customWidth="1" style="1" min="37" max="37"/>
    <col width="8.90625" customWidth="1" style="1" min="38" max="40"/>
    <col width="11" bestFit="1" customWidth="1" style="1" min="41" max="41"/>
    <col width="8.90625" customWidth="1" style="1" min="42" max="42"/>
    <col width="10.7265625" bestFit="1" customWidth="1" style="1" min="43" max="43"/>
    <col width="8.90625" customWidth="1" style="1" min="44" max="48"/>
    <col width="10.7265625" bestFit="1" customWidth="1" style="1" min="49" max="49"/>
    <col width="8.90625" customWidth="1" style="1" min="50" max="56"/>
    <col width="11" bestFit="1" customWidth="1" style="1" min="57" max="57"/>
    <col width="8.90625" customWidth="1" style="1" min="58" max="60"/>
    <col width="9.6328125" customWidth="1" style="1" min="61" max="61"/>
    <col width="8.90625" customWidth="1" style="1" min="62" max="62"/>
    <col width="11.36328125" customWidth="1" style="1" min="63" max="63"/>
    <col width="8.90625" customWidth="1" style="1" min="64" max="64"/>
    <col width="12.36328125" customWidth="1" style="1" min="65" max="65"/>
    <col width="8.90625" customWidth="1" style="1" min="66" max="66"/>
    <col width="11" customWidth="1" style="1" min="67" max="67"/>
    <col width="8.90625" customWidth="1" style="1" min="68" max="68"/>
    <col width="11"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4</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80" t="n"/>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F18+Mar!F22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71"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row>
    <row r="46" ht="14" customHeight="1" s="304">
      <c r="B46" s="176" t="n"/>
      <c r="C46" s="176" t="n"/>
      <c r="D46" s="176" t="n"/>
      <c r="E46" s="176" t="n"/>
      <c r="F46" s="176" t="n"/>
    </row>
    <row r="47" ht="40" customHeight="1" s="304">
      <c r="A47" s="62" t="n"/>
      <c r="B47" s="451" t="inlineStr">
        <is>
          <t>Transactions this month
One row per posted line, including a card payment or a bank line. These rows are not included in the totals above. A card payment is not a grid expense.</t>
        </is>
      </c>
    </row>
    <row r="48" ht="32" customHeight="1" s="304">
      <c r="A48" s="62" t="n"/>
      <c r="B48" s="452" t="inlineStr">
        <is>
          <t>Card</t>
        </is>
      </c>
      <c r="C48" s="452" t="inlineStr">
        <is>
          <t>Trans date</t>
        </is>
      </c>
      <c r="D48" s="452" t="inlineStr">
        <is>
          <t>Post date</t>
        </is>
      </c>
      <c r="E48" s="176" t="n"/>
      <c r="F48" s="452"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A49" s="62" t="n"/>
      <c r="B49" s="176" t="n"/>
      <c r="C49" s="503" t="n"/>
      <c r="D49" s="503" t="n"/>
      <c r="E49" s="176" t="n"/>
      <c r="F49" s="176" t="n"/>
      <c r="G49" s="499" t="n"/>
    </row>
    <row r="50" ht="14" customHeight="1" s="304">
      <c r="A50" s="62" t="n"/>
      <c r="B50" s="176" t="n"/>
      <c r="C50" s="503" t="n"/>
      <c r="D50" s="503" t="n"/>
      <c r="E50" s="176" t="n"/>
      <c r="F50" s="176" t="n"/>
      <c r="G50" s="499" t="n"/>
    </row>
    <row r="51" ht="14" customHeight="1" s="304">
      <c r="A51" s="62" t="n"/>
      <c r="B51" s="45" t="n"/>
      <c r="C51" s="500" t="n"/>
      <c r="D51" s="501" t="n"/>
      <c r="E51" s="176" t="n"/>
      <c r="F51" s="176" t="n"/>
      <c r="G51" s="499" t="n"/>
    </row>
    <row r="52" ht="14" customHeight="1" s="304">
      <c r="A52" s="62" t="n"/>
      <c r="B52" s="45" t="n"/>
      <c r="C52" s="500" t="n"/>
      <c r="D52" s="501" t="n"/>
      <c r="E52" s="48" t="n"/>
      <c r="F52" s="62" t="n"/>
      <c r="G52" s="499" t="n"/>
    </row>
    <row r="53" ht="14" customHeight="1" s="304">
      <c r="A53" s="62" t="n"/>
      <c r="B53" s="45" t="n"/>
      <c r="C53" s="500" t="n"/>
      <c r="D53" s="501" t="n"/>
      <c r="E53" s="48" t="n"/>
      <c r="F53" s="62" t="n"/>
      <c r="G53" s="499" t="n"/>
    </row>
    <row r="54" ht="14" customHeight="1" s="304">
      <c r="A54" s="62" t="n"/>
      <c r="B54" s="45" t="n"/>
      <c r="C54" s="500" t="n"/>
      <c r="D54" s="501" t="n"/>
      <c r="E54" s="48" t="n"/>
      <c r="F54" s="62" t="n"/>
      <c r="G54" s="499" t="n"/>
    </row>
    <row r="55" ht="14" customHeight="1" s="304">
      <c r="A55" s="62" t="n"/>
      <c r="B55" s="45" t="n"/>
      <c r="C55" s="500" t="n"/>
      <c r="D55" s="501" t="n"/>
      <c r="E55" s="48" t="n"/>
      <c r="F55" s="62" t="n"/>
      <c r="G55" s="499" t="n"/>
    </row>
    <row r="56" ht="14" customHeight="1" s="304">
      <c r="A56" s="62" t="n"/>
      <c r="B56" s="45" t="n"/>
      <c r="C56" s="500" t="n"/>
      <c r="D56" s="501" t="n"/>
      <c r="E56" s="48" t="n"/>
      <c r="F56" s="62" t="n"/>
      <c r="G56" s="499" t="n"/>
    </row>
    <row r="57" ht="14" customHeight="1" s="304">
      <c r="A57" s="62" t="n"/>
      <c r="B57" s="62" t="n"/>
      <c r="C57" s="498" t="n"/>
      <c r="D57" s="498" t="n"/>
      <c r="E57" s="62" t="n"/>
      <c r="F57" s="62" t="n"/>
      <c r="G57" s="499" t="n"/>
    </row>
    <row r="58" ht="14" customHeight="1" s="304">
      <c r="A58" s="62" t="n"/>
      <c r="B58" s="62" t="n"/>
      <c r="C58" s="498" t="n"/>
      <c r="D58" s="498" t="n"/>
      <c r="E58" s="62" t="n"/>
      <c r="F58" s="62" t="n"/>
      <c r="G58" s="499" t="n"/>
    </row>
    <row r="59" ht="14" customHeight="1" s="304">
      <c r="A59" s="62" t="n"/>
      <c r="B59" s="62" t="n"/>
      <c r="C59" s="498" t="n"/>
      <c r="D59" s="498" t="n"/>
      <c r="E59" s="62" t="n"/>
      <c r="F59" s="62" t="n"/>
      <c r="G59" s="499" t="n"/>
    </row>
    <row r="60" ht="14" customHeight="1" s="304">
      <c r="A60" s="62" t="n"/>
      <c r="B60" s="62" t="n"/>
      <c r="C60" s="498" t="n"/>
      <c r="D60" s="498" t="n"/>
      <c r="E60" s="62" t="n"/>
      <c r="F60" s="62" t="n"/>
      <c r="G60" s="499" t="n"/>
    </row>
    <row r="61" ht="14" customHeight="1" s="304">
      <c r="A61" s="62" t="n"/>
      <c r="B61" s="62" t="n"/>
      <c r="C61" s="498" t="n"/>
      <c r="D61" s="498" t="n"/>
      <c r="E61" s="62" t="n"/>
      <c r="F61" s="62" t="n"/>
      <c r="G61" s="499" t="n"/>
    </row>
    <row r="62" ht="14" customHeight="1" s="304">
      <c r="A62" s="62" t="n"/>
      <c r="B62" s="62" t="n"/>
      <c r="C62" s="498" t="n"/>
      <c r="D62" s="498" t="n"/>
      <c r="E62" s="62" t="n"/>
      <c r="F62" s="62" t="n"/>
      <c r="G62" s="499" t="n"/>
    </row>
    <row r="63" ht="14" customHeight="1" s="304">
      <c r="A63" s="62" t="n"/>
      <c r="B63" s="62" t="n"/>
      <c r="C63" s="498" t="n"/>
      <c r="D63" s="498" t="n"/>
      <c r="E63" s="62" t="n"/>
      <c r="F63" s="62" t="n"/>
      <c r="G63" s="499" t="n"/>
    </row>
    <row r="64" ht="14" customHeight="1" s="304">
      <c r="A64" s="62" t="n"/>
      <c r="B64" s="62" t="n"/>
      <c r="C64" s="498" t="n"/>
      <c r="D64" s="498" t="n"/>
      <c r="E64" s="62" t="n"/>
      <c r="F64" s="62" t="n"/>
      <c r="G64" s="499" t="n"/>
    </row>
    <row r="65" ht="14" customHeight="1" s="304">
      <c r="A65" s="62" t="n"/>
      <c r="B65" s="62" t="n"/>
      <c r="C65" s="498" t="n"/>
      <c r="D65" s="498" t="n"/>
      <c r="E65" s="62" t="n"/>
      <c r="F65" s="62" t="n"/>
      <c r="G65" s="499" t="n"/>
    </row>
    <row r="66" ht="14" customHeight="1" s="304">
      <c r="A66" s="62" t="n"/>
      <c r="B66" s="62" t="n"/>
      <c r="C66" s="498" t="n"/>
      <c r="D66" s="498" t="n"/>
      <c r="E66" s="62" t="n"/>
      <c r="F66" s="62" t="n"/>
      <c r="G66" s="499" t="n"/>
    </row>
    <row r="67" ht="14" customHeight="1" s="304">
      <c r="A67" s="62" t="n"/>
      <c r="B67" s="62" t="n"/>
      <c r="C67" s="498" t="n"/>
      <c r="D67" s="498" t="n"/>
      <c r="E67" s="62" t="n"/>
      <c r="F67" s="62" t="n"/>
      <c r="G67" s="499" t="n"/>
    </row>
    <row r="68" ht="14" customHeight="1" s="304">
      <c r="A68" s="62" t="n"/>
      <c r="B68" s="62" t="n"/>
      <c r="C68" s="498" t="n"/>
      <c r="D68" s="498" t="n"/>
      <c r="E68" s="62" t="n"/>
      <c r="F68" s="62" t="n"/>
      <c r="G68" s="499" t="n"/>
    </row>
    <row r="69" ht="14" customHeight="1" s="304">
      <c r="A69" s="62" t="n"/>
      <c r="B69" s="62" t="n"/>
      <c r="C69" s="498" t="n"/>
      <c r="D69" s="498" t="n"/>
      <c r="E69" s="62" t="n"/>
      <c r="F69" s="62" t="n"/>
      <c r="G69" s="499" t="n"/>
    </row>
    <row r="70" ht="14" customHeight="1" s="304">
      <c r="A70" s="62" t="n"/>
      <c r="B70" s="62" t="n"/>
      <c r="C70" s="498" t="n"/>
      <c r="D70" s="498" t="n"/>
      <c r="E70" s="62" t="n"/>
      <c r="F70" s="62" t="n"/>
      <c r="G70" s="499" t="n"/>
    </row>
    <row r="71" ht="14" customHeight="1" s="304">
      <c r="A71" s="62" t="n"/>
      <c r="B71" s="62" t="n"/>
      <c r="C71" s="498" t="n"/>
      <c r="D71" s="498" t="n"/>
      <c r="E71" s="62" t="n"/>
      <c r="F71" s="62" t="n"/>
      <c r="G71" s="499" t="n"/>
    </row>
    <row r="72" ht="14" customHeight="1" s="304">
      <c r="A72" s="62" t="n"/>
      <c r="B72" s="62" t="n"/>
      <c r="C72" s="498" t="n"/>
      <c r="D72" s="498" t="n"/>
      <c r="E72" s="62" t="n"/>
      <c r="F72" s="62" t="n"/>
      <c r="G72" s="499" t="n"/>
    </row>
    <row r="73" ht="14" customHeight="1" s="304">
      <c r="A73" s="62" t="n"/>
      <c r="B73" s="62" t="n"/>
      <c r="C73" s="498" t="n"/>
      <c r="D73" s="498" t="n"/>
      <c r="E73" s="62" t="n"/>
      <c r="F73" s="62" t="n"/>
      <c r="G73" s="499" t="n"/>
    </row>
    <row r="74" ht="14" customHeight="1" s="304">
      <c r="A74" s="62" t="n"/>
      <c r="B74" s="62" t="n"/>
      <c r="C74" s="498" t="n"/>
      <c r="D74" s="498" t="n"/>
      <c r="E74" s="62" t="n"/>
      <c r="F74" s="62" t="n"/>
      <c r="G74" s="499" t="n"/>
    </row>
    <row r="75" ht="14" customHeight="1" s="304">
      <c r="A75" s="62" t="n"/>
      <c r="B75" s="62" t="n"/>
      <c r="C75" s="498" t="n"/>
      <c r="D75" s="498" t="n"/>
      <c r="E75" s="62" t="n"/>
      <c r="F75" s="62" t="n"/>
      <c r="G75" s="499" t="n"/>
    </row>
    <row r="76" ht="14" customHeight="1" s="304">
      <c r="A76" s="62" t="n"/>
      <c r="B76" s="62" t="n"/>
      <c r="C76" s="498" t="n"/>
      <c r="D76" s="498" t="n"/>
      <c r="E76" s="62" t="n"/>
      <c r="F76" s="62" t="n"/>
      <c r="G76" s="499" t="n"/>
    </row>
    <row r="77" ht="14" customHeight="1" s="304">
      <c r="A77" s="62" t="n"/>
      <c r="B77" s="62" t="n"/>
      <c r="C77" s="498" t="n"/>
      <c r="D77" s="498" t="n"/>
      <c r="E77" s="62" t="n"/>
      <c r="F77" s="62" t="n"/>
      <c r="G77" s="499" t="n"/>
    </row>
    <row r="78" ht="14" customHeight="1" s="304">
      <c r="A78" s="62" t="n"/>
      <c r="B78" s="62" t="n"/>
      <c r="C78" s="498" t="n"/>
      <c r="D78" s="498" t="n"/>
      <c r="E78" s="62" t="n"/>
      <c r="F78" s="62" t="n"/>
      <c r="G78" s="499" t="n"/>
    </row>
    <row r="79" ht="14" customHeight="1" s="304">
      <c r="A79" s="62" t="n"/>
      <c r="B79" s="62" t="n"/>
      <c r="C79" s="498" t="n"/>
      <c r="D79" s="498" t="n"/>
      <c r="E79" s="62" t="n"/>
      <c r="F79" s="62" t="n"/>
      <c r="G79" s="499" t="n"/>
    </row>
    <row r="80" ht="14" customHeight="1" s="304">
      <c r="A80" s="62" t="n"/>
      <c r="B80" s="62" t="n"/>
      <c r="C80" s="498" t="n"/>
      <c r="D80" s="498" t="n"/>
      <c r="E80" s="62" t="n"/>
      <c r="F80" s="62" t="n"/>
      <c r="G80" s="499" t="n"/>
    </row>
    <row r="81" ht="14" customHeight="1" s="304">
      <c r="A81" s="62" t="n"/>
      <c r="B81" s="62" t="n"/>
      <c r="C81" s="498" t="n"/>
      <c r="D81" s="498" t="n"/>
      <c r="E81" s="62" t="n"/>
      <c r="F81" s="62" t="n"/>
      <c r="G81" s="499" t="n"/>
    </row>
    <row r="82" ht="14" customHeight="1" s="304">
      <c r="A82" s="62" t="n"/>
      <c r="B82" s="62" t="n"/>
      <c r="C82" s="498" t="n"/>
      <c r="D82" s="498" t="n"/>
      <c r="E82" s="62" t="n"/>
      <c r="F82" s="62" t="n"/>
      <c r="G82" s="499" t="n"/>
    </row>
    <row r="83" ht="14" customHeight="1" s="304">
      <c r="A83" s="62" t="n"/>
      <c r="B83" s="62" t="n"/>
      <c r="C83" s="498" t="n"/>
      <c r="D83" s="498" t="n"/>
      <c r="E83" s="62" t="n"/>
      <c r="F83" s="62" t="n"/>
      <c r="G83" s="499" t="n"/>
    </row>
    <row r="84" ht="14" customHeight="1" s="304">
      <c r="A84" s="62" t="n"/>
      <c r="B84" s="62" t="n"/>
      <c r="C84" s="498" t="n"/>
      <c r="D84" s="498" t="n"/>
      <c r="E84" s="62" t="n"/>
      <c r="F84" s="62" t="n"/>
      <c r="G84" s="499" t="n"/>
    </row>
    <row r="85" ht="14" customHeight="1" s="304">
      <c r="A85" s="62" t="n"/>
      <c r="B85" s="62" t="n"/>
      <c r="C85" s="498" t="n"/>
      <c r="D85" s="498" t="n"/>
      <c r="E85" s="62" t="n"/>
      <c r="F85" s="62" t="n"/>
      <c r="G85" s="499" t="n"/>
    </row>
    <row r="86" ht="14" customHeight="1" s="304">
      <c r="A86" s="62" t="n"/>
      <c r="B86" s="62" t="n"/>
      <c r="C86" s="498" t="n"/>
      <c r="D86" s="498" t="n"/>
      <c r="E86" s="62" t="n"/>
      <c r="F86" s="62" t="n"/>
      <c r="G86" s="499" t="n"/>
    </row>
    <row r="87" ht="14" customHeight="1" s="304">
      <c r="A87" s="62" t="n"/>
      <c r="B87" s="62" t="n"/>
      <c r="C87" s="498" t="n"/>
      <c r="D87" s="498" t="n"/>
      <c r="E87" s="62" t="n"/>
      <c r="F87" s="62" t="n"/>
      <c r="G87" s="499" t="n"/>
    </row>
    <row r="88" ht="14" customHeight="1" s="304">
      <c r="A88" s="62" t="n"/>
      <c r="B88" s="62" t="n"/>
      <c r="C88" s="498" t="n"/>
      <c r="D88" s="498" t="n"/>
      <c r="E88" s="62" t="n"/>
      <c r="F88" s="62" t="n"/>
      <c r="G88" s="499" t="n"/>
    </row>
    <row r="89" ht="14" customHeight="1" s="304">
      <c r="A89" s="62" t="n"/>
      <c r="B89" s="62" t="n"/>
      <c r="C89" s="498" t="n"/>
      <c r="D89" s="498" t="n"/>
      <c r="E89" s="62" t="n"/>
      <c r="F89" s="62" t="n"/>
      <c r="G89" s="499" t="n"/>
    </row>
    <row r="90" ht="14" customHeight="1" s="304">
      <c r="A90" s="62" t="n"/>
      <c r="B90" s="62" t="n"/>
      <c r="C90" s="498" t="n"/>
      <c r="D90" s="498" t="n"/>
      <c r="E90" s="62" t="n"/>
      <c r="F90" s="62" t="n"/>
      <c r="G90" s="499" t="n"/>
    </row>
    <row r="91" ht="14" customHeight="1" s="304">
      <c r="A91" s="62" t="n"/>
      <c r="B91" s="62" t="n"/>
      <c r="C91" s="498" t="n"/>
      <c r="D91" s="498" t="n"/>
      <c r="E91" s="62" t="n"/>
      <c r="F91" s="62" t="n"/>
      <c r="G91" s="499" t="n"/>
    </row>
    <row r="92" ht="14" customHeight="1" s="304">
      <c r="A92" s="62" t="n"/>
      <c r="B92" s="62" t="n"/>
      <c r="C92" s="498" t="n"/>
      <c r="D92" s="498" t="n"/>
      <c r="E92" s="62" t="n"/>
      <c r="F92" s="62" t="n"/>
      <c r="G92" s="499" t="n"/>
    </row>
    <row r="93" ht="14" customHeight="1" s="304">
      <c r="A93" s="62" t="n"/>
      <c r="B93" s="62" t="n"/>
      <c r="C93" s="498" t="n"/>
      <c r="D93" s="498" t="n"/>
      <c r="E93" s="62" t="n"/>
      <c r="F93" s="62" t="n"/>
      <c r="G93" s="499" t="n"/>
    </row>
    <row r="94" ht="14" customHeight="1" s="304">
      <c r="A94" s="62" t="n"/>
      <c r="B94" s="62" t="n"/>
      <c r="C94" s="498" t="n"/>
      <c r="D94" s="498" t="n"/>
      <c r="E94" s="62" t="n"/>
      <c r="F94" s="62" t="n"/>
      <c r="G94" s="499" t="n"/>
    </row>
    <row r="95" ht="14" customHeight="1" s="304">
      <c r="A95" s="62" t="n"/>
      <c r="B95" s="62" t="n"/>
      <c r="C95" s="498" t="n"/>
      <c r="D95" s="498" t="n"/>
      <c r="E95" s="62" t="n"/>
      <c r="F95" s="62" t="n"/>
      <c r="G95" s="499" t="n"/>
    </row>
    <row r="96" ht="14" customHeight="1" s="304">
      <c r="A96" s="62" t="n"/>
      <c r="B96" s="62" t="n"/>
      <c r="C96" s="498" t="n"/>
      <c r="D96" s="498" t="n"/>
      <c r="E96" s="62" t="n"/>
      <c r="F96" s="6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46 A97:XFD65536 B5:H5 B35:E44 E18:F18 E19:E34 F6:G14 F17:G17 F20:G21 F22 F25:F26 F40:G44 G45:XFD96 H6:H44 I2 I5:I6 I9 I42:I44 J5:BS16 BT1:IV44">
    <cfRule type="cellIs" priority="649" operator="equal" dxfId="0" stopIfTrue="1">
      <formula>"Sun"</formula>
    </cfRule>
  </conditionalFormatting>
  <conditionalFormatting sqref="A1:H2 A3:I4 A5:A46 A97:XFD65536 B5:H5 B35:E44 E18:F18 E19:E34 F6:G14 F17:G17 F20:G21 F22 F25:F26 F40:G44 G45:XFD96 H6:H44 I2 I5:I6 I9 J5:BS16 BT1:IV44">
    <cfRule type="cellIs" priority="648" operator="equal" dxfId="5" stopIfTrue="1">
      <formula>"Sat"</formula>
    </cfRule>
  </conditionalFormatting>
  <conditionalFormatting sqref="B18:B34">
    <cfRule type="cellIs" priority="439" operator="equal" dxfId="0" stopIfTrue="1">
      <formula>"Sun"</formula>
    </cfRule>
    <cfRule type="cellIs" priority="438" operator="equal" dxfId="5" stopIfTrue="1">
      <formula>"Sat"</formula>
    </cfRule>
  </conditionalFormatting>
  <conditionalFormatting sqref="B6:E17">
    <cfRule type="cellIs" priority="533" operator="equal" dxfId="0" stopIfTrue="1">
      <formula>"Sun"</formula>
    </cfRule>
    <cfRule type="cellIs" priority="532" operator="equal" dxfId="5" stopIfTrue="1">
      <formula>"Sat"</formula>
    </cfRule>
  </conditionalFormatting>
  <conditionalFormatting sqref="B45:F50 E51:F51">
    <cfRule type="cellIs" priority="473" operator="equal" dxfId="0" stopIfTrue="1">
      <formula>"Sun"</formula>
    </cfRule>
    <cfRule type="cellIs" priority="472" operator="equal" dxfId="5" stopIfTrue="1">
      <formula>"Sat"</formula>
    </cfRule>
  </conditionalFormatting>
  <conditionalFormatting sqref="C26:C27">
    <cfRule type="cellIs" priority="23" operator="equal" dxfId="5" stopIfTrue="1">
      <formula>"Sat"</formula>
    </cfRule>
    <cfRule type="cellIs" priority="24" operator="equal" dxfId="0" stopIfTrue="1">
      <formula>"Sun"</formula>
    </cfRule>
  </conditionalFormatting>
  <conditionalFormatting sqref="C29:C30">
    <cfRule type="cellIs" priority="21" operator="equal" dxfId="5" stopIfTrue="1">
      <formula>"Sat"</formula>
    </cfRule>
    <cfRule type="cellIs" priority="22" operator="equal" dxfId="0" stopIfTrue="1">
      <formula>"Sun"</formula>
    </cfRule>
  </conditionalFormatting>
  <conditionalFormatting sqref="C18:D19">
    <cfRule type="cellIs" priority="27" operator="equal" dxfId="5" stopIfTrue="1">
      <formula>"Sat"</formula>
    </cfRule>
    <cfRule type="cellIs" priority="28" operator="equal" dxfId="0" stopIfTrue="1">
      <formula>"Sun"</formula>
    </cfRule>
  </conditionalFormatting>
  <conditionalFormatting sqref="C21:D22">
    <cfRule type="cellIs" priority="2" operator="equal" dxfId="0" stopIfTrue="1">
      <formula>"Sun"</formula>
    </cfRule>
    <cfRule type="cellIs" priority="1" operator="equal" dxfId="5" stopIfTrue="1">
      <formula>"Sat"</formula>
    </cfRule>
  </conditionalFormatting>
  <conditionalFormatting sqref="C24:D24">
    <cfRule type="cellIs" priority="26" operator="equal" dxfId="0" stopIfTrue="1">
      <formula>"Sun"</formula>
    </cfRule>
    <cfRule type="cellIs" priority="25" operator="equal" dxfId="5" stopIfTrue="1">
      <formula>"Sat"</formula>
    </cfRule>
  </conditionalFormatting>
  <conditionalFormatting sqref="C31:D34">
    <cfRule type="cellIs" priority="51" operator="equal" dxfId="5" stopIfTrue="1">
      <formula>"Sat"</formula>
    </cfRule>
    <cfRule type="cellIs" priority="52" operator="equal" dxfId="0" stopIfTrue="1">
      <formula>"Sun"</formula>
    </cfRule>
  </conditionalFormatting>
  <conditionalFormatting sqref="D26:D28">
    <cfRule type="cellIs" priority="50" operator="equal" dxfId="0" stopIfTrue="1">
      <formula>"Sun"</formula>
    </cfRule>
    <cfRule type="cellIs" priority="49" operator="equal" dxfId="5" stopIfTrue="1">
      <formula>"Sat"</formula>
    </cfRule>
  </conditionalFormatting>
  <conditionalFormatting sqref="I20:I37">
    <cfRule type="cellIs" priority="588" operator="equal" dxfId="5" stopIfTrue="1">
      <formula>"Sat"</formula>
    </cfRule>
    <cfRule type="cellIs" priority="589" operator="equal" dxfId="0" stopIfTrue="1">
      <formula>"Sun"</formula>
    </cfRule>
  </conditionalFormatting>
  <conditionalFormatting sqref="I17:BS17">
    <cfRule type="cellIs" priority="12" operator="equal" dxfId="0" stopIfTrue="1">
      <formula>"Sun"</formula>
    </cfRule>
    <cfRule type="cellIs" priority="11" operator="equal" dxfId="5" stopIfTrue="1">
      <formula>"Sat"</formula>
    </cfRule>
  </conditionalFormatting>
  <conditionalFormatting sqref="I42:BS44">
    <cfRule type="cellIs" priority="164" operator="equal" dxfId="5" stopIfTrue="1">
      <formula>"Sat"</formula>
    </cfRule>
  </conditionalFormatting>
  <conditionalFormatting sqref="J28:S28">
    <cfRule type="cellIs" priority="8" operator="equal" dxfId="0" stopIfTrue="1">
      <formula>"Sun"</formula>
    </cfRule>
    <cfRule type="cellIs" priority="7" operator="equal" dxfId="5" stopIfTrue="1">
      <formula>"Sat"</formula>
    </cfRule>
  </conditionalFormatting>
  <conditionalFormatting sqref="J18:BS27">
    <cfRule type="cellIs" priority="5" operator="equal" dxfId="5" stopIfTrue="1">
      <formula>"Sat"</formula>
    </cfRule>
    <cfRule type="cellIs" priority="6" operator="equal" dxfId="0" stopIfTrue="1">
      <formula>"Sun"</formula>
    </cfRule>
  </conditionalFormatting>
  <conditionalFormatting sqref="J29:BS39">
    <cfRule type="cellIs" priority="4" operator="equal" dxfId="0" stopIfTrue="1">
      <formula>"Sun"</formula>
    </cfRule>
  </conditionalFormatting>
  <conditionalFormatting sqref="J29:BS41">
    <cfRule type="cellIs" priority="3" operator="equal" dxfId="5" stopIfTrue="1">
      <formula>"Sat"</formula>
    </cfRule>
  </conditionalFormatting>
  <conditionalFormatting sqref="J40:BS44">
    <cfRule type="cellIs" priority="165" operator="equal" dxfId="0" stopIfTrue="1">
      <formula>"Sun"</formula>
    </cfRule>
  </conditionalFormatting>
  <conditionalFormatting sqref="T28:BS28">
    <cfRule type="cellIs" priority="56" operator="equal" dxfId="5" stopIfTrue="1">
      <formula>"Sat"</formula>
    </cfRule>
    <cfRule type="cellIs" priority="57" operator="equal" dxfId="0" stopIfTrue="1">
      <formula>"Sun"</formula>
    </cfRule>
  </conditionalFormatting>
  <conditionalFormatting sqref="X28">
    <cfRule type="cellIs" priority="55"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6.xml><?xml version="1.0" encoding="utf-8"?>
<worksheet xmlns="http://schemas.openxmlformats.org/spreadsheetml/2006/main">
  <sheetPr>
    <tabColor indexed="50"/>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bestFit="1"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9.90625"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0"/>
    <col width="12.6328125" bestFit="1" customWidth="1" style="1" min="31" max="31"/>
    <col width="8.90625" customWidth="1" style="1" min="32" max="34"/>
    <col width="10.6328125" bestFit="1" customWidth="1" style="1" min="35" max="35"/>
    <col width="8.90625" customWidth="1" style="1" min="36" max="36"/>
    <col width="10.6328125" bestFit="1" customWidth="1" style="1" min="37" max="37"/>
    <col width="8.90625" customWidth="1" style="1" min="38" max="38"/>
    <col width="10.6328125" bestFit="1" customWidth="1" style="1" min="39" max="39"/>
    <col width="8.90625" customWidth="1" style="1" min="40" max="40"/>
    <col width="10.6328125" bestFit="1" customWidth="1" style="1" min="41" max="41"/>
    <col width="8.90625" customWidth="1" style="1" min="42" max="42"/>
    <col width="10.6328125"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5</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t="n"/>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t="n"/>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79"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79"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F18+Apr!F22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71"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71"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71"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71"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c r="G45" s="176" t="n"/>
    </row>
    <row r="46" ht="14" customHeight="1" s="304">
      <c r="B46" s="176" t="n"/>
      <c r="C46" s="176" t="n"/>
      <c r="D46" s="176" t="n"/>
      <c r="E46" s="176" t="n"/>
      <c r="F46" s="176" t="n"/>
      <c r="G46" s="176" t="n"/>
    </row>
    <row r="47" ht="40" customHeight="1" s="304">
      <c r="B47" s="451" t="inlineStr">
        <is>
          <t>Transactions this month
One row per posted line, including a card payment or a bank line. These rows are not included in the totals above. A card payment is not a grid expense.</t>
        </is>
      </c>
      <c r="AF47" s="182" t="n"/>
      <c r="AG47" s="166" t="n"/>
      <c r="AJ47" s="182" t="n"/>
      <c r="AK47" s="166" t="n"/>
    </row>
    <row r="48" ht="32" customHeight="1" s="304">
      <c r="B48" s="452" t="inlineStr">
        <is>
          <t>Card</t>
        </is>
      </c>
      <c r="C48" s="452" t="inlineStr">
        <is>
          <t>Trans date</t>
        </is>
      </c>
      <c r="D48" s="452" t="inlineStr">
        <is>
          <t>Post date</t>
        </is>
      </c>
      <c r="E48" s="176" t="n"/>
      <c r="F48" s="452" t="inlineStr">
        <is>
          <t>Description</t>
        </is>
      </c>
      <c r="G48" s="452"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501" t="n"/>
      <c r="E49" s="176" t="n"/>
      <c r="F49" s="176" t="n"/>
      <c r="G49" s="509" t="n"/>
    </row>
    <row r="50" ht="14" customHeight="1" s="304">
      <c r="B50" s="45" t="n"/>
      <c r="C50" s="500" t="n"/>
      <c r="D50" s="501" t="n"/>
      <c r="E50" s="176" t="n"/>
      <c r="F50" s="176" t="n"/>
      <c r="G50" s="509" t="n"/>
    </row>
    <row r="51" ht="14" customHeight="1" s="304">
      <c r="B51" s="45" t="n"/>
      <c r="C51" s="500" t="n"/>
      <c r="D51" s="501" t="n"/>
      <c r="E51" s="176" t="n"/>
      <c r="F51" s="176" t="n"/>
      <c r="G51" s="509" t="n"/>
    </row>
    <row r="52" ht="14" customHeight="1" s="304">
      <c r="B52" s="45" t="n"/>
      <c r="C52" s="500" t="n"/>
      <c r="D52" s="501" t="n"/>
      <c r="E52" s="48" t="n"/>
      <c r="F52" s="62" t="n"/>
      <c r="G52" s="509" t="n"/>
    </row>
    <row r="53" ht="14" customHeight="1" s="304">
      <c r="B53" s="45" t="n"/>
      <c r="C53" s="500" t="n"/>
      <c r="D53" s="501" t="n"/>
      <c r="E53" s="48" t="n"/>
      <c r="F53" s="62" t="n"/>
      <c r="G53" s="509" t="n"/>
    </row>
    <row r="54" ht="14" customHeight="1" s="304">
      <c r="B54" s="45" t="n"/>
      <c r="C54" s="500" t="n"/>
      <c r="D54" s="501" t="n"/>
      <c r="E54" s="48" t="n"/>
      <c r="F54" s="62" t="n"/>
      <c r="G54" s="509" t="n"/>
    </row>
    <row r="55" ht="14" customHeight="1" s="304">
      <c r="B55" s="45" t="n"/>
      <c r="C55" s="500" t="n"/>
      <c r="D55" s="501" t="n"/>
      <c r="E55" s="48" t="n"/>
      <c r="F55" s="62" t="n"/>
      <c r="G55" s="509" t="n"/>
    </row>
    <row r="56" ht="14" customHeight="1" s="304">
      <c r="B56" s="45" t="n"/>
      <c r="C56" s="500" t="n"/>
      <c r="D56" s="501" t="n"/>
      <c r="E56" s="48" t="n"/>
      <c r="F56" s="62" t="n"/>
      <c r="G56" s="509" t="n"/>
    </row>
    <row r="57" ht="14" customHeight="1" s="304">
      <c r="B57" s="62" t="n"/>
      <c r="C57" s="498" t="n"/>
      <c r="D57" s="498" t="n"/>
      <c r="E57" s="176" t="n"/>
      <c r="F57" s="176" t="n"/>
      <c r="G57" s="509" t="n"/>
    </row>
    <row r="58" ht="14" customHeight="1" s="304">
      <c r="B58" s="176" t="n"/>
      <c r="C58" s="503" t="n"/>
      <c r="D58" s="498" t="n"/>
      <c r="E58" s="176" t="n"/>
      <c r="F58" s="176" t="n"/>
      <c r="G58" s="509" t="n"/>
    </row>
    <row r="59" ht="14" customHeight="1" s="304">
      <c r="B59" s="176" t="n"/>
      <c r="C59" s="503" t="n"/>
      <c r="D59" s="503" t="n"/>
      <c r="E59" s="176" t="n"/>
      <c r="F59" s="176" t="n"/>
      <c r="G59" s="509" t="n"/>
    </row>
    <row r="60" ht="14" customHeight="1" s="304">
      <c r="B60" s="176" t="n"/>
      <c r="C60" s="503" t="n"/>
      <c r="D60" s="503" t="n"/>
      <c r="E60" s="176" t="n"/>
      <c r="F60" s="176" t="n"/>
      <c r="G60" s="509" t="n"/>
    </row>
    <row r="61" ht="14" customHeight="1" s="304">
      <c r="B61" s="176" t="n"/>
      <c r="C61" s="503" t="n"/>
      <c r="D61" s="503" t="n"/>
      <c r="E61" s="176" t="n"/>
      <c r="F61" s="176" t="n"/>
      <c r="G61" s="509" t="n"/>
    </row>
    <row r="62" ht="14" customHeight="1" s="304">
      <c r="B62" s="176" t="n"/>
      <c r="C62" s="503" t="n"/>
      <c r="D62" s="503" t="n"/>
      <c r="E62" s="176" t="n"/>
      <c r="F62" s="176" t="n"/>
      <c r="G62" s="509" t="n"/>
    </row>
    <row r="63" ht="14" customHeight="1" s="304">
      <c r="B63" s="176" t="n"/>
      <c r="C63" s="503" t="n"/>
      <c r="D63" s="503" t="n"/>
      <c r="E63" s="176" t="n"/>
      <c r="F63" s="176" t="n"/>
      <c r="G63" s="509" t="n"/>
    </row>
    <row r="64" ht="14" customHeight="1" s="304">
      <c r="B64" s="176" t="n"/>
      <c r="C64" s="503" t="n"/>
      <c r="D64" s="503" t="n"/>
      <c r="E64" s="176" t="n"/>
      <c r="F64" s="176" t="n"/>
      <c r="G64" s="509" t="n"/>
    </row>
    <row r="65" ht="14" customHeight="1" s="304">
      <c r="B65" s="176" t="n"/>
      <c r="C65" s="503" t="n"/>
      <c r="D65" s="503" t="n"/>
      <c r="E65" s="176" t="n"/>
      <c r="F65" s="176" t="n"/>
      <c r="G65" s="509" t="n"/>
    </row>
    <row r="66" ht="14" customHeight="1" s="304">
      <c r="B66" s="176" t="n"/>
      <c r="C66" s="503" t="n"/>
      <c r="D66" s="503" t="n"/>
      <c r="E66" s="176" t="n"/>
      <c r="F66" s="176" t="n"/>
      <c r="G66" s="509" t="n"/>
    </row>
    <row r="67" ht="14" customHeight="1" s="304">
      <c r="B67" s="176" t="n"/>
      <c r="C67" s="503" t="n"/>
      <c r="D67" s="503" t="n"/>
      <c r="E67" s="176" t="n"/>
      <c r="F67" s="176" t="n"/>
      <c r="G67" s="509" t="n"/>
    </row>
    <row r="68" ht="14" customHeight="1" s="304">
      <c r="B68" s="176" t="n"/>
      <c r="C68" s="503" t="n"/>
      <c r="D68" s="503" t="n"/>
      <c r="E68" s="176" t="n"/>
      <c r="F68" s="176" t="n"/>
      <c r="G68" s="509" t="n"/>
    </row>
    <row r="69" ht="14" customHeight="1" s="304">
      <c r="B69" s="176" t="n"/>
      <c r="C69" s="503" t="n"/>
      <c r="D69" s="503" t="n"/>
      <c r="E69" s="176" t="n"/>
      <c r="F69" s="176" t="n"/>
      <c r="G69" s="509" t="n"/>
    </row>
    <row r="70" ht="14" customHeight="1" s="304">
      <c r="B70" s="176" t="n"/>
      <c r="C70" s="503" t="n"/>
      <c r="D70" s="503" t="n"/>
      <c r="E70" s="176" t="n"/>
      <c r="F70" s="176" t="n"/>
      <c r="G70" s="509" t="n"/>
    </row>
    <row r="71" ht="14" customHeight="1" s="304">
      <c r="B71" s="176" t="n"/>
      <c r="C71" s="503" t="n"/>
      <c r="D71" s="503" t="n"/>
      <c r="E71" s="176" t="n"/>
      <c r="F71" s="176" t="n"/>
      <c r="G71" s="509" t="n"/>
    </row>
    <row r="72" ht="14" customHeight="1" s="304">
      <c r="B72" s="176" t="n"/>
      <c r="C72" s="503" t="n"/>
      <c r="D72" s="503" t="n"/>
      <c r="E72" s="176" t="n"/>
      <c r="F72" s="176" t="n"/>
      <c r="G72" s="509" t="n"/>
    </row>
    <row r="73" ht="14" customHeight="1" s="304">
      <c r="B73" s="176" t="n"/>
      <c r="C73" s="503" t="n"/>
      <c r="D73" s="503" t="n"/>
      <c r="E73" s="176" t="n"/>
      <c r="F73" s="176" t="n"/>
      <c r="G73" s="509" t="n"/>
    </row>
    <row r="74" ht="14" customHeight="1" s="304">
      <c r="B74" s="176" t="n"/>
      <c r="C74" s="503" t="n"/>
      <c r="D74" s="503" t="n"/>
      <c r="E74" s="176" t="n"/>
      <c r="F74" s="176" t="n"/>
      <c r="G74" s="509" t="n"/>
    </row>
    <row r="75" ht="14" customHeight="1" s="304">
      <c r="B75" s="176" t="n"/>
      <c r="C75" s="503" t="n"/>
      <c r="D75" s="503" t="n"/>
      <c r="E75" s="176" t="n"/>
      <c r="F75" s="176" t="n"/>
      <c r="G75" s="509" t="n"/>
    </row>
    <row r="76" ht="14" customHeight="1" s="304">
      <c r="B76" s="176" t="n"/>
      <c r="C76" s="503" t="n"/>
      <c r="D76" s="503" t="n"/>
      <c r="E76" s="176" t="n"/>
      <c r="F76" s="176" t="n"/>
      <c r="G76" s="509" t="n"/>
    </row>
    <row r="77" ht="14" customHeight="1" s="304">
      <c r="B77" s="176" t="n"/>
      <c r="C77" s="503" t="n"/>
      <c r="D77" s="503" t="n"/>
      <c r="E77" s="176" t="n"/>
      <c r="F77" s="176" t="n"/>
      <c r="G77" s="509" t="n"/>
    </row>
    <row r="78" ht="14" customHeight="1" s="304">
      <c r="B78" s="176" t="n"/>
      <c r="C78" s="503" t="n"/>
      <c r="D78" s="503" t="n"/>
      <c r="E78" s="176" t="n"/>
      <c r="F78" s="176" t="n"/>
      <c r="G78" s="509" t="n"/>
    </row>
    <row r="79" ht="14" customHeight="1" s="304">
      <c r="B79" s="176" t="n"/>
      <c r="C79" s="503" t="n"/>
      <c r="D79" s="503" t="n"/>
      <c r="E79" s="176" t="n"/>
      <c r="F79" s="176" t="n"/>
      <c r="G79" s="509" t="n"/>
    </row>
    <row r="80" ht="14" customHeight="1" s="304">
      <c r="B80" s="176" t="n"/>
      <c r="C80" s="503" t="n"/>
      <c r="D80" s="503" t="n"/>
      <c r="E80" s="176" t="n"/>
      <c r="F80" s="176" t="n"/>
      <c r="G80" s="509" t="n"/>
    </row>
    <row r="81" ht="14" customHeight="1" s="304">
      <c r="B81" s="176" t="n"/>
      <c r="C81" s="503" t="n"/>
      <c r="D81" s="503" t="n"/>
      <c r="E81" s="176" t="n"/>
      <c r="F81" s="176" t="n"/>
      <c r="G81" s="509" t="n"/>
    </row>
    <row r="82" ht="14" customHeight="1" s="304">
      <c r="B82" s="176" t="n"/>
      <c r="C82" s="503" t="n"/>
      <c r="D82" s="503" t="n"/>
      <c r="E82" s="176" t="n"/>
      <c r="F82" s="176" t="n"/>
      <c r="G82" s="509" t="n"/>
    </row>
    <row r="83" ht="14" customHeight="1" s="304">
      <c r="B83" s="176" t="n"/>
      <c r="C83" s="503" t="n"/>
      <c r="D83" s="503" t="n"/>
      <c r="E83" s="176" t="n"/>
      <c r="F83" s="176" t="n"/>
      <c r="G83" s="509" t="n"/>
    </row>
    <row r="84" ht="14" customHeight="1" s="304">
      <c r="B84" s="176" t="n"/>
      <c r="C84" s="503" t="n"/>
      <c r="D84" s="503" t="n"/>
      <c r="E84" s="176" t="n"/>
      <c r="F84" s="176" t="n"/>
      <c r="G84" s="50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84 A85:XFD65508 B5:H5 B35:E44 E19:E21 E23:E34 F6:G14 F17:G17 F20:G21 F25:F26 F40:G44 H6:H44 H45:XFD84 I2 I5:I6 I9 I42:I44 J5:BS16 BT1:IV44">
    <cfRule type="cellIs" priority="744" operator="equal" dxfId="0" stopIfTrue="1">
      <formula>"Sun"</formula>
    </cfRule>
  </conditionalFormatting>
  <conditionalFormatting sqref="A1:H2 A3:I4 A5:A84 A85:XFD65508 B5:H5 B35:E44 E19:E21 E23:E34 F6:G14 F17:G17 F20:G21 F25:F26 F40:G44 H6:H44 H45:XFD84 I2 I5:I6 I9 J5:BS16 BT1:IV44">
    <cfRule type="cellIs" priority="743" operator="equal" dxfId="5" stopIfTrue="1">
      <formula>"Sat"</formula>
    </cfRule>
  </conditionalFormatting>
  <conditionalFormatting sqref="B18:B34">
    <cfRule type="cellIs" priority="484" operator="equal" dxfId="0" stopIfTrue="1">
      <formula>"Sun"</formula>
    </cfRule>
    <cfRule type="cellIs" priority="483" operator="equal" dxfId="5" stopIfTrue="1">
      <formula>"Sat"</formula>
    </cfRule>
  </conditionalFormatting>
  <conditionalFormatting sqref="B58:C58">
    <cfRule type="cellIs" priority="122" operator="equal" dxfId="0" stopIfTrue="1">
      <formula>"Sun"</formula>
    </cfRule>
    <cfRule type="cellIs" priority="121" operator="equal" dxfId="5" stopIfTrue="1">
      <formula>"Sat"</formula>
    </cfRule>
  </conditionalFormatting>
  <conditionalFormatting sqref="B6:E17">
    <cfRule type="cellIs" priority="598" operator="equal" dxfId="0" stopIfTrue="1">
      <formula>"Sun"</formula>
    </cfRule>
    <cfRule type="cellIs" priority="597" operator="equal" dxfId="5" stopIfTrue="1">
      <formula>"Sat"</formula>
    </cfRule>
  </conditionalFormatting>
  <conditionalFormatting sqref="B45:G48 B59:G84 E49:G51 E57:G58 G52:G56">
    <cfRule type="cellIs" priority="524" operator="equal" dxfId="0" stopIfTrue="1">
      <formula>"Sun"</formula>
    </cfRule>
    <cfRule type="cellIs" priority="523" operator="equal" dxfId="5" stopIfTrue="1">
      <formula>"Sat"</formula>
    </cfRule>
  </conditionalFormatting>
  <conditionalFormatting sqref="C27">
    <cfRule type="cellIs" priority="41" operator="equal" dxfId="5" stopIfTrue="1">
      <formula>"Sat"</formula>
    </cfRule>
    <cfRule type="cellIs" priority="42" operator="equal" dxfId="0" stopIfTrue="1">
      <formula>"Sun"</formula>
    </cfRule>
  </conditionalFormatting>
  <conditionalFormatting sqref="C29:C30">
    <cfRule type="cellIs" priority="39" operator="equal" dxfId="5" stopIfTrue="1">
      <formula>"Sat"</formula>
    </cfRule>
    <cfRule type="cellIs" priority="40" operator="equal" dxfId="0" stopIfTrue="1">
      <formula>"Sun"</formula>
    </cfRule>
  </conditionalFormatting>
  <conditionalFormatting sqref="C19:D19">
    <cfRule type="cellIs" priority="51" operator="equal" dxfId="5" stopIfTrue="1">
      <formula>"Sat"</formula>
    </cfRule>
    <cfRule type="cellIs" priority="52" operator="equal" dxfId="0" stopIfTrue="1">
      <formula>"Sun"</formula>
    </cfRule>
  </conditionalFormatting>
  <conditionalFormatting sqref="C21:D21">
    <cfRule type="cellIs" priority="1" operator="equal" dxfId="5" stopIfTrue="1">
      <formula>"Sat"</formula>
    </cfRule>
    <cfRule type="cellIs" priority="2" operator="equal" dxfId="0" stopIfTrue="1">
      <formula>"Sun"</formula>
    </cfRule>
  </conditionalFormatting>
  <conditionalFormatting sqref="C24:D24">
    <cfRule type="cellIs" priority="33" operator="equal" dxfId="5" stopIfTrue="1">
      <formula>"Sat"</formula>
    </cfRule>
    <cfRule type="cellIs" priority="34" operator="equal" dxfId="0" stopIfTrue="1">
      <formula>"Sun"</formula>
    </cfRule>
  </conditionalFormatting>
  <conditionalFormatting sqref="C26:D26">
    <cfRule type="cellIs" priority="53" operator="equal" dxfId="5" stopIfTrue="1">
      <formula>"Sat"</formula>
    </cfRule>
    <cfRule type="cellIs" priority="54" operator="equal" dxfId="0" stopIfTrue="1">
      <formula>"Sun"</formula>
    </cfRule>
  </conditionalFormatting>
  <conditionalFormatting sqref="C31:D34">
    <cfRule type="cellIs" priority="55" operator="equal" dxfId="5" stopIfTrue="1">
      <formula>"Sat"</formula>
    </cfRule>
    <cfRule type="cellIs" priority="56" operator="equal" dxfId="0" stopIfTrue="1">
      <formula>"Sun"</formula>
    </cfRule>
  </conditionalFormatting>
  <conditionalFormatting sqref="C18:F18">
    <cfRule type="cellIs" priority="37" operator="equal" dxfId="5" stopIfTrue="1">
      <formula>"Sat"</formula>
    </cfRule>
    <cfRule type="cellIs" priority="38" operator="equal" dxfId="0" stopIfTrue="1">
      <formula>"Sun"</formula>
    </cfRule>
  </conditionalFormatting>
  <conditionalFormatting sqref="C22:F22">
    <cfRule type="cellIs" priority="43" operator="equal" dxfId="5" stopIfTrue="1">
      <formula>"Sat"</formula>
    </cfRule>
    <cfRule type="cellIs" priority="44" operator="equal" dxfId="0" stopIfTrue="1">
      <formula>"Sun"</formula>
    </cfRule>
  </conditionalFormatting>
  <conditionalFormatting sqref="D27:D28">
    <cfRule type="cellIs" priority="57" operator="equal" dxfId="5" stopIfTrue="1">
      <formula>"Sat"</formula>
    </cfRule>
    <cfRule type="cellIs" priority="58" operator="equal" dxfId="0" stopIfTrue="1">
      <formula>"Sun"</formula>
    </cfRule>
  </conditionalFormatting>
  <conditionalFormatting sqref="I20:I37">
    <cfRule type="cellIs" priority="656" operator="equal" dxfId="0" stopIfTrue="1">
      <formula>"Sun"</formula>
    </cfRule>
    <cfRule type="cellIs" priority="655" operator="equal" dxfId="5" stopIfTrue="1">
      <formula>"Sat"</formula>
    </cfRule>
  </conditionalFormatting>
  <conditionalFormatting sqref="I17:BS17">
    <cfRule type="cellIs" priority="89" operator="equal" dxfId="5" stopIfTrue="1">
      <formula>"Sat"</formula>
    </cfRule>
    <cfRule type="cellIs" priority="90" operator="equal" dxfId="0" stopIfTrue="1">
      <formula>"Sun"</formula>
    </cfRule>
  </conditionalFormatting>
  <conditionalFormatting sqref="I42:BS44">
    <cfRule type="cellIs" priority="195" operator="equal" dxfId="5" stopIfTrue="1">
      <formula>"Sat"</formula>
    </cfRule>
  </conditionalFormatting>
  <conditionalFormatting sqref="J39">
    <cfRule type="cellIs" priority="26" operator="equal" dxfId="0" stopIfTrue="1">
      <formula>"Sun"</formula>
    </cfRule>
    <cfRule type="cellIs" priority="25" operator="equal" dxfId="5" stopIfTrue="1">
      <formula>"Sat"</formula>
    </cfRule>
  </conditionalFormatting>
  <conditionalFormatting sqref="J22:AO26">
    <cfRule type="cellIs" priority="99" operator="equal" dxfId="5" stopIfTrue="1">
      <formula>"Sat"</formula>
    </cfRule>
    <cfRule type="cellIs" priority="100" operator="equal" dxfId="0" stopIfTrue="1">
      <formula>"Sun"</formula>
    </cfRule>
  </conditionalFormatting>
  <conditionalFormatting sqref="J36:BK36">
    <cfRule type="cellIs" priority="12" operator="equal" dxfId="0" stopIfTrue="1">
      <formula>"Sun"</formula>
    </cfRule>
    <cfRule type="cellIs" priority="11" operator="equal" dxfId="5" stopIfTrue="1">
      <formula>"Sat"</formula>
    </cfRule>
  </conditionalFormatting>
  <conditionalFormatting sqref="J37:BK37">
    <cfRule type="cellIs" priority="67" operator="equal" dxfId="5" stopIfTrue="1">
      <formula>"Sat"</formula>
    </cfRule>
    <cfRule type="cellIs" priority="68" operator="equal" dxfId="0" stopIfTrue="1">
      <formula>"Sun"</formula>
    </cfRule>
  </conditionalFormatting>
  <conditionalFormatting sqref="J27:BR35">
    <cfRule type="cellIs" priority="7" operator="equal" dxfId="5" stopIfTrue="1">
      <formula>"Sat"</formula>
    </cfRule>
    <cfRule type="cellIs" priority="8" operator="equal" dxfId="0" stopIfTrue="1">
      <formula>"Sun"</formula>
    </cfRule>
  </conditionalFormatting>
  <conditionalFormatting sqref="J18:BS21">
    <cfRule type="cellIs" priority="3" operator="equal" dxfId="5" stopIfTrue="1">
      <formula>"Sat"</formula>
    </cfRule>
    <cfRule type="cellIs" priority="4" operator="equal" dxfId="0" stopIfTrue="1">
      <formula>"Sun"</formula>
    </cfRule>
  </conditionalFormatting>
  <conditionalFormatting sqref="J38:BS38">
    <cfRule type="cellIs" priority="28" operator="equal" dxfId="0" stopIfTrue="1">
      <formula>"Sun"</formula>
    </cfRule>
    <cfRule type="cellIs" priority="27" operator="equal" dxfId="5" stopIfTrue="1">
      <formula>"Sat"</formula>
    </cfRule>
  </conditionalFormatting>
  <conditionalFormatting sqref="J40:BS44 K39:BS39">
    <cfRule type="cellIs" priority="196" operator="equal" dxfId="0" stopIfTrue="1">
      <formula>"Sun"</formula>
    </cfRule>
  </conditionalFormatting>
  <conditionalFormatting sqref="J40:BS41 K39:BS39 BM37:BS37">
    <cfRule type="cellIs" priority="183" operator="equal" dxfId="5" stopIfTrue="1">
      <formula>"Sat"</formula>
    </cfRule>
  </conditionalFormatting>
  <conditionalFormatting sqref="AP23:BR26">
    <cfRule type="cellIs" priority="10" operator="equal" dxfId="0" stopIfTrue="1">
      <formula>"Sun"</formula>
    </cfRule>
    <cfRule type="cellIs" priority="9" operator="equal" dxfId="5" stopIfTrue="1">
      <formula>"Sat"</formula>
    </cfRule>
  </conditionalFormatting>
  <conditionalFormatting sqref="AP22:BS22">
    <cfRule type="cellIs" priority="191" operator="equal" dxfId="5" stopIfTrue="1">
      <formula>"Sat"</formula>
    </cfRule>
    <cfRule type="cellIs" priority="192" operator="equal" dxfId="0" stopIfTrue="1">
      <formula>"Sun"</formula>
    </cfRule>
  </conditionalFormatting>
  <conditionalFormatting sqref="BB39:BB40">
    <cfRule type="cellIs" priority="65" operator="equal" dxfId="0" stopIfTrue="1">
      <formula>"Sun"</formula>
    </cfRule>
  </conditionalFormatting>
  <conditionalFormatting sqref="BD37">
    <cfRule type="cellIs" priority="63" operator="equal" dxfId="0" stopIfTrue="1">
      <formula>"Sun"</formula>
    </cfRule>
  </conditionalFormatting>
  <conditionalFormatting sqref="BL36:BL37">
    <cfRule type="cellIs" priority="61" operator="equal" dxfId="5" stopIfTrue="1">
      <formula>"Sat"</formula>
    </cfRule>
    <cfRule type="cellIs" priority="62" operator="equal" dxfId="0" stopIfTrue="1">
      <formula>"Sun"</formula>
    </cfRule>
  </conditionalFormatting>
  <conditionalFormatting sqref="BM36:BR36">
    <cfRule type="cellIs" priority="70" operator="equal" dxfId="0" stopIfTrue="1">
      <formula>"Sun"</formula>
    </cfRule>
    <cfRule type="cellIs" priority="69" operator="equal" dxfId="5" stopIfTrue="1">
      <formula>"Sat"</formula>
    </cfRule>
  </conditionalFormatting>
  <conditionalFormatting sqref="BM37:BS37">
    <cfRule type="cellIs" priority="184" operator="equal" dxfId="0" stopIfTrue="1">
      <formula>"Sun"</formula>
    </cfRule>
  </conditionalFormatting>
  <conditionalFormatting sqref="BS23:BS36">
    <cfRule type="cellIs" priority="205" operator="equal" dxfId="5" stopIfTrue="1">
      <formula>"Sat"</formula>
    </cfRule>
    <cfRule type="cellIs" priority="206"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7.xml><?xml version="1.0" encoding="utf-8"?>
<worksheet xmlns="http://schemas.openxmlformats.org/spreadsheetml/2006/main">
  <sheetPr>
    <tabColor indexed="43"/>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Z28" sqref="Z28"/>
    </sheetView>
  </sheetViews>
  <sheetFormatPr baseColWidth="8" defaultColWidth="8.90625" defaultRowHeight="13.5"/>
  <cols>
    <col width="1.08984375" customWidth="1" style="1" min="1" max="1"/>
    <col width="27" customWidth="1" style="1" min="2" max="2"/>
    <col width="13.08984375"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1.906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3.08984375" bestFit="1" customWidth="1" style="1" min="31" max="31"/>
    <col width="8.90625" customWidth="1" style="1" min="32" max="34"/>
    <col width="11" bestFit="1" customWidth="1" style="1" min="35" max="35"/>
    <col width="8.90625" customWidth="1" style="1" min="36" max="36"/>
    <col width="11" bestFit="1" customWidth="1" style="1" min="37" max="37"/>
    <col width="8.90625" customWidth="1" style="1" min="38" max="52"/>
    <col width="12.08984375" bestFit="1" customWidth="1" style="1" min="53" max="53"/>
    <col width="8.90625" customWidth="1" style="1" min="54" max="56"/>
    <col width="11" bestFit="1" customWidth="1" style="1" min="57" max="57"/>
    <col width="8.90625" customWidth="1" style="1" min="58" max="58"/>
    <col width="11" bestFit="1" customWidth="1" style="1" min="59" max="59"/>
    <col width="8.90625" customWidth="1" style="1" min="60" max="62"/>
    <col width="11" bestFit="1" customWidth="1" style="1" min="63" max="63"/>
    <col width="8.90625" customWidth="1" style="1" min="64" max="64"/>
    <col width="9.36328125" customWidth="1" style="1" min="65" max="65"/>
    <col width="8.90625" customWidth="1" style="1" min="66" max="66"/>
    <col width="12" bestFit="1" customWidth="1" style="1" min="67" max="67"/>
    <col width="8.90625" customWidth="1" style="1" min="68" max="68"/>
    <col width="12.6328125"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6</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411" t="n"/>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7" t="n"/>
      <c r="S20" s="484" t="n"/>
      <c r="T20" s="377"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412"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F18+May!F22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9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71"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71" t="n"/>
      <c r="BM37" s="479" t="n"/>
      <c r="BN37" s="371" t="n"/>
      <c r="BO37" s="479" t="n"/>
      <c r="BP37" s="371" t="n"/>
      <c r="BQ37" s="480" t="n"/>
      <c r="BR37" s="371" t="n"/>
      <c r="BS37" s="480" t="n"/>
    </row>
    <row r="38" ht="17.25" customFormat="1" customHeight="1" s="4" thickBot="1">
      <c r="B38" s="153" t="n"/>
      <c r="C38" s="492" t="n"/>
      <c r="D38" s="149" t="n"/>
      <c r="F38" s="328" t="n"/>
      <c r="G38" s="329" t="n"/>
      <c r="I38" s="141" t="n"/>
      <c r="J38" s="370" t="n"/>
      <c r="K38" s="491"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D44" s="166"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B46" s="176" t="n"/>
      <c r="C46" s="176" t="n"/>
      <c r="D46" s="176" t="n"/>
      <c r="E46" s="176" t="n"/>
      <c r="F46" s="176" t="n"/>
    </row>
    <row r="47" ht="40" customHeight="1" s="304">
      <c r="B47" s="451" t="inlineStr">
        <is>
          <t>Transactions this month
One row per posted line, including a card payment or a bank line. These rows are not included in the totals above. A card payment is not a grid expense.</t>
        </is>
      </c>
    </row>
    <row r="48" ht="32" customHeight="1" s="304">
      <c r="B48" s="452" t="inlineStr">
        <is>
          <t>Card</t>
        </is>
      </c>
      <c r="C48" s="452" t="inlineStr">
        <is>
          <t>Trans date</t>
        </is>
      </c>
      <c r="D48" s="452" t="inlineStr">
        <is>
          <t>Post date</t>
        </is>
      </c>
      <c r="E48" s="176" t="n"/>
      <c r="F48" s="452"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176" t="n"/>
      <c r="C49" s="503" t="n"/>
      <c r="D49" s="503" t="n"/>
      <c r="E49" s="176" t="n"/>
      <c r="F49" s="176" t="n"/>
      <c r="G49" s="499" t="n"/>
    </row>
    <row r="50" ht="14" customHeight="1" s="304">
      <c r="B50" s="45" t="n"/>
      <c r="C50" s="500" t="n"/>
      <c r="D50" s="501" t="n"/>
      <c r="E50" s="176" t="n"/>
      <c r="F50" s="176" t="n"/>
      <c r="G50" s="499" t="n"/>
    </row>
    <row r="51" ht="14" customHeight="1" s="304">
      <c r="B51" s="45" t="n"/>
      <c r="C51" s="500" t="n"/>
      <c r="D51" s="501" t="n"/>
      <c r="E51" s="48" t="n"/>
      <c r="F51" s="62" t="n"/>
      <c r="G51" s="499" t="n"/>
    </row>
    <row r="52" ht="14" customHeight="1" s="304">
      <c r="B52" s="45" t="n"/>
      <c r="C52" s="500" t="n"/>
      <c r="D52" s="501" t="n"/>
      <c r="E52" s="48" t="n"/>
      <c r="F52" s="62" t="n"/>
      <c r="G52" s="499" t="n"/>
    </row>
    <row r="53" ht="14" customHeight="1" s="304">
      <c r="B53" s="45" t="n"/>
      <c r="C53" s="500" t="n"/>
      <c r="D53" s="501" t="n"/>
      <c r="E53" s="48" t="n"/>
      <c r="F53" s="62" t="n"/>
      <c r="G53" s="499" t="n"/>
    </row>
    <row r="54" ht="14" customHeight="1" s="304">
      <c r="B54" s="45" t="n"/>
      <c r="C54" s="500" t="n"/>
      <c r="D54" s="501" t="n"/>
      <c r="E54" s="48" t="n"/>
      <c r="F54" s="62" t="n"/>
      <c r="G54" s="499" t="n"/>
    </row>
    <row r="55" ht="14" customHeight="1" s="304">
      <c r="B55" s="45" t="n"/>
      <c r="C55" s="500" t="n"/>
      <c r="D55" s="501" t="n"/>
      <c r="E55" s="48" t="n"/>
      <c r="F55" s="62" t="n"/>
      <c r="G55" s="499" t="n"/>
    </row>
    <row r="56" ht="14" customHeight="1" s="304">
      <c r="B56" s="45" t="n"/>
      <c r="C56" s="500" t="n"/>
      <c r="D56" s="501" t="n"/>
      <c r="E56" s="48" t="n"/>
      <c r="F56" s="62" t="n"/>
      <c r="G56" s="499" t="n"/>
    </row>
    <row r="57" ht="14" customHeight="1" s="304">
      <c r="B57" s="45" t="n"/>
      <c r="C57" s="500" t="n"/>
      <c r="D57" s="501" t="n"/>
      <c r="E57" s="48" t="n"/>
      <c r="G57" s="499" t="n"/>
    </row>
    <row r="58" ht="14" customHeight="1" s="304">
      <c r="B58" s="45" t="n"/>
      <c r="C58" s="500" t="n"/>
      <c r="D58" s="501" t="n"/>
      <c r="G58" s="499" t="n"/>
    </row>
    <row r="59" ht="14" customHeight="1" s="304">
      <c r="B59" s="62" t="n"/>
      <c r="C59" s="498" t="n"/>
      <c r="D59" s="498" t="n"/>
      <c r="G59" s="499" t="n"/>
    </row>
    <row r="60" ht="14" customHeight="1" s="304">
      <c r="C60" s="501" t="n"/>
      <c r="D60" s="503" t="n"/>
      <c r="G60" s="499" t="n"/>
    </row>
    <row r="61" ht="14" customHeight="1" s="304">
      <c r="C61" s="501" t="n"/>
      <c r="D61" s="503" t="n"/>
      <c r="G61" s="499" t="n"/>
    </row>
    <row r="62" ht="14" customHeight="1" s="304">
      <c r="C62" s="501" t="n"/>
      <c r="D62" s="503" t="n"/>
      <c r="G62" s="499" t="n"/>
    </row>
    <row r="63" ht="14" customHeight="1" s="304">
      <c r="C63" s="501" t="n"/>
      <c r="D63" s="503" t="n"/>
      <c r="G63" s="499" t="n"/>
    </row>
    <row r="64" ht="14" customHeight="1" s="304">
      <c r="C64" s="501" t="n"/>
      <c r="D64" s="503" t="n"/>
      <c r="G64" s="499" t="n"/>
    </row>
    <row r="65" ht="14" customHeight="1" s="304">
      <c r="C65" s="501" t="n"/>
      <c r="D65" s="503" t="n"/>
      <c r="G65" s="499" t="n"/>
    </row>
    <row r="66" ht="14" customHeight="1" s="304">
      <c r="C66" s="501" t="n"/>
      <c r="D66" s="502" t="n"/>
      <c r="G66" s="499" t="n"/>
    </row>
    <row r="67" ht="14" customHeight="1" s="304">
      <c r="C67" s="501" t="n"/>
      <c r="D67" s="503" t="n"/>
      <c r="G67" s="499" t="n"/>
    </row>
    <row r="68" ht="14" customHeight="1" s="304">
      <c r="C68" s="501" t="n"/>
      <c r="D68" s="503" t="n"/>
      <c r="G68" s="499" t="n"/>
    </row>
    <row r="69" ht="14" customHeight="1" s="304">
      <c r="C69" s="501" t="n"/>
      <c r="D69" s="503" t="n"/>
      <c r="G69" s="499" t="n"/>
    </row>
    <row r="70" ht="14" customHeight="1" s="304">
      <c r="C70" s="501" t="n"/>
      <c r="D70" s="503" t="n"/>
      <c r="G70" s="499" t="n"/>
    </row>
    <row r="71" ht="14" customHeight="1" s="304">
      <c r="C71" s="501" t="n"/>
      <c r="D71" s="503" t="n"/>
      <c r="G71" s="499" t="n"/>
    </row>
    <row r="72" ht="14" customHeight="1" s="304">
      <c r="C72" s="501" t="n"/>
      <c r="D72" s="503" t="n"/>
      <c r="G72" s="499" t="n"/>
    </row>
    <row r="73" ht="14" customHeight="1" s="304">
      <c r="C73" s="501" t="n"/>
      <c r="D73" s="503" t="n"/>
      <c r="G73" s="499" t="n"/>
    </row>
    <row r="74" ht="14" customHeight="1" s="304">
      <c r="C74" s="501" t="n"/>
      <c r="D74" s="503" t="n"/>
      <c r="G74" s="499" t="n"/>
    </row>
    <row r="75" ht="14" customHeight="1" s="304">
      <c r="C75" s="501" t="n"/>
      <c r="D75" s="503" t="n"/>
      <c r="G75" s="499" t="n"/>
    </row>
    <row r="76" ht="14" customHeight="1" s="304">
      <c r="C76" s="501" t="n"/>
      <c r="D76" s="503" t="n"/>
      <c r="G76" s="499" t="n"/>
    </row>
    <row r="77" ht="14" customHeight="1" s="304">
      <c r="C77" s="501" t="n"/>
      <c r="D77" s="503" t="n"/>
      <c r="G77" s="499" t="n"/>
    </row>
    <row r="78" ht="14" customHeight="1" s="304">
      <c r="C78" s="501" t="n"/>
      <c r="D78" s="503" t="n"/>
      <c r="G78" s="499" t="n"/>
    </row>
    <row r="79" ht="14" customHeight="1" s="304">
      <c r="C79" s="501" t="n"/>
      <c r="D79" s="503" t="n"/>
      <c r="G79" s="499" t="n"/>
    </row>
    <row r="80" ht="14" customHeight="1" s="304">
      <c r="C80" s="501" t="n"/>
      <c r="D80" s="503" t="n"/>
      <c r="G80" s="499" t="n"/>
    </row>
    <row r="81" ht="14" customHeight="1" s="304">
      <c r="C81" s="501" t="n"/>
      <c r="D81" s="501" t="n"/>
      <c r="G81" s="499" t="n"/>
    </row>
    <row r="82" ht="14" customHeight="1" s="304">
      <c r="C82" s="501" t="n"/>
      <c r="D82" s="503" t="n"/>
      <c r="G82" s="499" t="n"/>
    </row>
    <row r="83" ht="14" customHeight="1" s="304">
      <c r="C83" s="501" t="n"/>
      <c r="D83" s="503" t="n"/>
      <c r="G83" s="499" t="n"/>
    </row>
    <row r="84" ht="14" customHeight="1" s="304">
      <c r="C84" s="501" t="n"/>
      <c r="D84" s="503" t="n"/>
      <c r="G84" s="499" t="n"/>
    </row>
    <row r="85" ht="14" customHeight="1" s="304">
      <c r="C85" s="501" t="n"/>
      <c r="D85" s="503" t="n"/>
      <c r="G85" s="499" t="n"/>
    </row>
    <row r="86" ht="14" customHeight="1" s="304">
      <c r="C86" s="501" t="n"/>
      <c r="D86" s="503" t="n"/>
      <c r="G86" s="499" t="n"/>
    </row>
    <row r="87" ht="14" customHeight="1" s="304">
      <c r="C87" s="501" t="n"/>
      <c r="D87" s="503" t="n"/>
      <c r="G87" s="499" t="n"/>
    </row>
    <row r="88" ht="14" customHeight="1" s="304">
      <c r="C88" s="501" t="n"/>
      <c r="D88" s="503" t="n"/>
      <c r="G88" s="499" t="n"/>
    </row>
    <row r="89" ht="15" customHeight="1" s="304">
      <c r="B89" s="184" t="n"/>
      <c r="C89" s="510" t="n"/>
      <c r="D89" s="510" t="n"/>
      <c r="E89" s="414" t="n"/>
      <c r="F89" s="184" t="n"/>
      <c r="G89" s="499" t="n"/>
    </row>
    <row r="90" ht="15" customHeight="1" s="304">
      <c r="B90" s="186" t="n"/>
      <c r="C90" s="511" t="n"/>
      <c r="D90" s="511" t="n"/>
      <c r="E90" s="415" t="n"/>
      <c r="F90" s="186" t="n"/>
      <c r="G90" s="499" t="n"/>
    </row>
    <row r="91" ht="15" customHeight="1" s="304">
      <c r="B91" s="416" t="n"/>
      <c r="C91" s="511" t="n"/>
      <c r="D91" s="511" t="n"/>
      <c r="E91" s="415" t="n"/>
      <c r="F91" s="186" t="n"/>
      <c r="G91" s="499" t="n"/>
    </row>
    <row r="92" ht="15" customHeight="1" s="304">
      <c r="B92" s="416" t="n"/>
      <c r="C92" s="511" t="n"/>
      <c r="D92" s="511" t="n"/>
      <c r="E92" s="415" t="n"/>
      <c r="F92" s="186" t="n"/>
      <c r="G92" s="499" t="n"/>
    </row>
    <row r="93" ht="15" customHeight="1" s="304">
      <c r="B93" s="416" t="n"/>
      <c r="C93" s="511" t="n"/>
      <c r="D93" s="511" t="n"/>
      <c r="E93" s="415" t="n"/>
      <c r="F93" s="186" t="n"/>
      <c r="G93" s="499" t="n"/>
    </row>
    <row r="94" ht="15" customHeight="1" s="304">
      <c r="B94" s="416" t="n"/>
      <c r="C94" s="511" t="n"/>
      <c r="D94" s="511" t="n"/>
      <c r="E94" s="415" t="n"/>
      <c r="F94" s="186" t="n"/>
      <c r="G94" s="499" t="n"/>
    </row>
    <row r="95" ht="15" customHeight="1" s="304">
      <c r="B95" s="416" t="n"/>
      <c r="C95" s="511" t="n"/>
      <c r="D95" s="511" t="n"/>
      <c r="E95" s="415" t="n"/>
      <c r="F95" s="186" t="n"/>
      <c r="G95" s="499" t="n"/>
    </row>
    <row r="96" ht="15" customHeight="1" s="304">
      <c r="B96" s="416" t="n"/>
      <c r="C96" s="511" t="n"/>
      <c r="D96" s="511" t="n"/>
      <c r="E96" s="415" t="n"/>
      <c r="F96" s="186" t="n"/>
      <c r="G96" s="499" t="n"/>
    </row>
    <row r="97" ht="15" customHeight="1" s="304">
      <c r="B97" s="416" t="n"/>
      <c r="C97" s="511" t="n"/>
      <c r="D97" s="511" t="n"/>
      <c r="E97" s="415" t="n"/>
      <c r="F97" s="186" t="n"/>
      <c r="G97" s="499" t="n"/>
    </row>
    <row r="98" ht="15" customHeight="1" s="304">
      <c r="B98" s="416" t="n"/>
      <c r="C98" s="511" t="n"/>
      <c r="D98" s="511" t="n"/>
      <c r="E98" s="415" t="n"/>
      <c r="F98" s="186" t="n"/>
      <c r="G98" s="499" t="n"/>
    </row>
    <row r="99" ht="15" customHeight="1" s="304">
      <c r="B99" s="416" t="n"/>
      <c r="C99" s="511" t="n"/>
      <c r="D99" s="511" t="n"/>
      <c r="E99" s="415" t="n"/>
      <c r="F99" s="186" t="n"/>
      <c r="G99" s="499" t="n"/>
    </row>
    <row r="100" ht="15" customHeight="1" s="304">
      <c r="B100" s="416" t="n"/>
      <c r="C100" s="511" t="n"/>
      <c r="D100" s="511" t="n"/>
      <c r="E100" s="415" t="n"/>
      <c r="F100" s="186" t="n"/>
      <c r="G100" s="499" t="n"/>
    </row>
    <row r="101" ht="15" customHeight="1" s="304">
      <c r="B101" s="416" t="n"/>
      <c r="C101" s="511" t="n"/>
      <c r="D101" s="511" t="n"/>
      <c r="E101" s="415" t="n"/>
      <c r="F101" s="186" t="n"/>
      <c r="G101" s="499" t="n"/>
    </row>
    <row r="102" ht="15" customHeight="1" s="304">
      <c r="B102" s="416" t="n"/>
      <c r="C102" s="511" t="n"/>
      <c r="D102" s="511" t="n"/>
      <c r="E102" s="415" t="n"/>
      <c r="F102" s="186" t="n"/>
      <c r="G102" s="499" t="n"/>
    </row>
    <row r="103" ht="15" customHeight="1" s="304">
      <c r="B103" s="416" t="n"/>
      <c r="C103" s="511" t="n"/>
      <c r="D103" s="511" t="n"/>
      <c r="E103" s="415" t="n"/>
      <c r="F103" s="186" t="n"/>
      <c r="G103" s="499" t="n"/>
    </row>
    <row r="104" ht="15" customHeight="1" s="304">
      <c r="B104" s="416" t="n"/>
      <c r="C104" s="511" t="n"/>
      <c r="D104" s="511" t="n"/>
      <c r="E104" s="415" t="n"/>
      <c r="F104" s="186" t="n"/>
      <c r="G104" s="499" t="n"/>
    </row>
    <row r="105" ht="15" customHeight="1" s="304">
      <c r="B105" s="416" t="n"/>
      <c r="C105" s="511" t="n"/>
      <c r="D105" s="511" t="n"/>
      <c r="E105" s="415" t="n"/>
      <c r="F105" s="186" t="n"/>
      <c r="G105" s="499" t="n"/>
    </row>
    <row r="106" ht="15" customHeight="1" s="304">
      <c r="B106" s="416" t="n"/>
      <c r="C106" s="511" t="n"/>
      <c r="D106" s="511" t="n"/>
      <c r="E106" s="415" t="n"/>
      <c r="F106" s="186" t="n"/>
      <c r="G106" s="499" t="n"/>
    </row>
    <row r="107" ht="15" customHeight="1" s="304">
      <c r="B107" s="416" t="n"/>
      <c r="C107" s="511" t="n"/>
      <c r="D107" s="511" t="n"/>
      <c r="E107" s="415" t="n"/>
      <c r="F107" s="186" t="n"/>
      <c r="G107" s="499" t="n"/>
    </row>
    <row r="108" ht="15" customHeight="1" s="304">
      <c r="B108" s="416" t="n"/>
      <c r="C108" s="511" t="n"/>
      <c r="D108" s="511" t="n"/>
      <c r="E108" s="415" t="n"/>
      <c r="F108" s="186" t="n"/>
      <c r="G108" s="499" t="n"/>
    </row>
    <row r="109" ht="15" customHeight="1" s="304">
      <c r="B109" s="416" t="n"/>
      <c r="C109" s="511" t="n"/>
      <c r="D109" s="511" t="n"/>
      <c r="E109" s="415" t="n"/>
      <c r="F109" s="186" t="n"/>
      <c r="G109" s="499" t="n"/>
    </row>
    <row r="110" ht="15" customHeight="1" s="304">
      <c r="B110" s="416" t="n"/>
      <c r="C110" s="511" t="n"/>
      <c r="D110" s="511" t="n"/>
      <c r="E110" s="415" t="n"/>
      <c r="F110" s="186" t="n"/>
      <c r="G110" s="499" t="n"/>
    </row>
    <row r="111" ht="15" customHeight="1" s="304">
      <c r="B111" s="416" t="n"/>
      <c r="C111" s="511" t="n"/>
      <c r="D111" s="511" t="n"/>
      <c r="E111" s="415" t="n"/>
      <c r="F111" s="186" t="n"/>
      <c r="G111" s="499" t="n"/>
    </row>
    <row r="112" ht="15" customHeight="1" s="304">
      <c r="B112" s="416" t="n"/>
      <c r="C112" s="511" t="n"/>
      <c r="D112" s="511" t="n"/>
      <c r="E112" s="415" t="n"/>
      <c r="F112" s="186" t="n"/>
      <c r="G112" s="499" t="n"/>
    </row>
    <row r="113" ht="15" customHeight="1" s="304">
      <c r="B113" s="416" t="n"/>
      <c r="C113" s="511" t="n"/>
      <c r="D113" s="511" t="n"/>
      <c r="E113" s="415" t="n"/>
      <c r="F113" s="186" t="n"/>
      <c r="G113" s="499" t="n"/>
    </row>
    <row r="114" ht="15" customHeight="1" s="304">
      <c r="B114" s="416" t="n"/>
      <c r="C114" s="511" t="n"/>
      <c r="D114" s="511" t="n"/>
      <c r="E114" s="415" t="n"/>
      <c r="F114" s="186" t="n"/>
      <c r="G114" s="499" t="n"/>
    </row>
    <row r="115" ht="15" customHeight="1" s="304">
      <c r="B115" s="416" t="n"/>
      <c r="C115" s="511" t="n"/>
      <c r="D115" s="511" t="n"/>
      <c r="E115" s="415" t="n"/>
      <c r="F115" s="186" t="n"/>
      <c r="G115" s="499" t="n"/>
    </row>
    <row r="116" ht="15" customHeight="1" s="304">
      <c r="B116" s="186" t="n"/>
      <c r="C116" s="510" t="n"/>
      <c r="D116" s="510" t="n"/>
      <c r="E116" s="414" t="n"/>
      <c r="F116" s="186" t="n"/>
      <c r="G116" s="499" t="n"/>
    </row>
    <row r="117" ht="15" customHeight="1" s="304">
      <c r="B117" s="186" t="n"/>
      <c r="C117" s="510" t="n"/>
      <c r="D117" s="510" t="n"/>
      <c r="E117" s="414" t="n"/>
      <c r="F117" s="186" t="n"/>
      <c r="G117" s="499" t="n"/>
    </row>
    <row r="118" ht="15" customHeight="1" s="304">
      <c r="C118" s="502" t="n"/>
      <c r="D118" s="502" t="n"/>
      <c r="F118" s="186" t="n"/>
      <c r="G118" s="499" t="n"/>
    </row>
    <row r="119" ht="15" customHeight="1" s="304">
      <c r="B119" s="186" t="n"/>
      <c r="C119" s="511" t="n"/>
      <c r="D119" s="511" t="n"/>
      <c r="E119" s="415" t="n"/>
      <c r="F119" s="186" t="n"/>
      <c r="G119" s="499" t="n"/>
    </row>
    <row r="120" ht="15" customHeight="1" s="304">
      <c r="B120" s="186" t="n"/>
      <c r="C120" s="511" t="n"/>
      <c r="D120" s="511" t="n"/>
      <c r="E120" s="415" t="n"/>
      <c r="F120" s="186" t="n"/>
      <c r="G120" s="499" t="n"/>
    </row>
    <row r="121" ht="15" customHeight="1" s="304">
      <c r="C121" s="502" t="n"/>
      <c r="D121" s="502" t="n"/>
      <c r="F121" s="186"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B47:I47"/>
    <mergeCell ref="B150:I150"/>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AB3:AC3"/>
    <mergeCell ref="AR4:AS4"/>
    <mergeCell ref="X3:Y3"/>
    <mergeCell ref="I22:I27"/>
    <mergeCell ref="AT4:AU4"/>
    <mergeCell ref="AZ4:BA4"/>
    <mergeCell ref="Z3:AA3"/>
    <mergeCell ref="AV4:AW4"/>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44 A45:XFD45 A46:A88 A89:XFD65541 B5:H5 B35:E44 E19:E21 E23:E24 E25:F26 E27:E34 E58:XFD67 E69:F74 E75:XFD88 F6:G14 F17:G17 F20:G21 F40:G44 F57:XFD57 G46:XFD56 G68:XFD74 H6:H44 I2 I5:I6 I9 I42:I44 J5:BS16 BT1:IV44">
    <cfRule type="cellIs" priority="699" operator="equal" dxfId="0" stopIfTrue="1">
      <formula>"Sun"</formula>
    </cfRule>
  </conditionalFormatting>
  <conditionalFormatting sqref="A1:H2 A3:I4 A5:A44 A45:XFD45 A46:A88 A89:XFD65541 B5:H5 B35:E44 E19:E21 E23:E24 E25:F26 E27:E34 E58:XFD67 E69:F74 E75:XFD88 F6:G14 F17:G17 F20:G21 F40:G44 F57:XFD57 G46:XFD56 G68:XFD74 H6:H44 I2 I5:I6 I9 J5:BS16 BT1:IV44">
    <cfRule type="cellIs" priority="698" operator="equal" dxfId="5" stopIfTrue="1">
      <formula>"Sat"</formula>
    </cfRule>
  </conditionalFormatting>
  <conditionalFormatting sqref="B18:B34">
    <cfRule type="cellIs" priority="443" operator="equal" dxfId="0" stopIfTrue="1">
      <formula>"Sun"</formula>
    </cfRule>
    <cfRule type="cellIs" priority="442" operator="equal" dxfId="5" stopIfTrue="1">
      <formula>"Sat"</formula>
    </cfRule>
  </conditionalFormatting>
  <conditionalFormatting sqref="B60:B65">
    <cfRule type="cellIs" priority="83" operator="equal" dxfId="0" stopIfTrue="1">
      <formula>"Sun"</formula>
    </cfRule>
    <cfRule type="cellIs" priority="82" operator="equal" dxfId="5" stopIfTrue="1">
      <formula>"Sat"</formula>
    </cfRule>
  </conditionalFormatting>
  <conditionalFormatting sqref="B6:E17">
    <cfRule type="cellIs" priority="541" operator="equal" dxfId="0" stopIfTrue="1">
      <formula>"Sun"</formula>
    </cfRule>
    <cfRule type="cellIs" priority="540" operator="equal" dxfId="5" stopIfTrue="1">
      <formula>"Sat"</formula>
    </cfRule>
  </conditionalFormatting>
  <conditionalFormatting sqref="B46:F49 E50:F50">
    <cfRule type="cellIs" priority="485" operator="equal" dxfId="0" stopIfTrue="1">
      <formula>"Sun"</formula>
    </cfRule>
    <cfRule type="cellIs" priority="484" operator="equal" dxfId="5" stopIfTrue="1">
      <formula>"Sat"</formula>
    </cfRule>
  </conditionalFormatting>
  <conditionalFormatting sqref="C27">
    <cfRule type="cellIs" priority="37" operator="equal" dxfId="5" stopIfTrue="1">
      <formula>"Sat"</formula>
    </cfRule>
    <cfRule type="cellIs" priority="38" operator="equal" dxfId="0" stopIfTrue="1">
      <formula>"Sun"</formula>
    </cfRule>
  </conditionalFormatting>
  <conditionalFormatting sqref="C29:C30">
    <cfRule type="cellIs" priority="11" operator="equal" dxfId="5" stopIfTrue="1">
      <formula>"Sat"</formula>
    </cfRule>
    <cfRule type="cellIs" priority="12" operator="equal" dxfId="0" stopIfTrue="1">
      <formula>"Sun"</formula>
    </cfRule>
  </conditionalFormatting>
  <conditionalFormatting sqref="C19:D19">
    <cfRule type="cellIs" priority="47" operator="equal" dxfId="5" stopIfTrue="1">
      <formula>"Sat"</formula>
    </cfRule>
    <cfRule type="cellIs" priority="48" operator="equal" dxfId="0" stopIfTrue="1">
      <formula>"Sun"</formula>
    </cfRule>
  </conditionalFormatting>
  <conditionalFormatting sqref="C21:D21">
    <cfRule type="cellIs" priority="9" operator="equal" dxfId="5" stopIfTrue="1">
      <formula>"Sat"</formula>
    </cfRule>
    <cfRule type="cellIs" priority="10" operator="equal" dxfId="0" stopIfTrue="1">
      <formula>"Sun"</formula>
    </cfRule>
  </conditionalFormatting>
  <conditionalFormatting sqref="C24:D24">
    <cfRule type="cellIs" priority="35" operator="equal" dxfId="5" stopIfTrue="1">
      <formula>"Sat"</formula>
    </cfRule>
    <cfRule type="cellIs" priority="36" operator="equal" dxfId="0" stopIfTrue="1">
      <formula>"Sun"</formula>
    </cfRule>
  </conditionalFormatting>
  <conditionalFormatting sqref="C26:D26">
    <cfRule type="cellIs" priority="49" operator="equal" dxfId="5" stopIfTrue="1">
      <formula>"Sat"</formula>
    </cfRule>
    <cfRule type="cellIs" priority="50" operator="equal" dxfId="0" stopIfTrue="1">
      <formula>"Sun"</formula>
    </cfRule>
  </conditionalFormatting>
  <conditionalFormatting sqref="C31:D34">
    <cfRule type="cellIs" priority="51" operator="equal" dxfId="5" stopIfTrue="1">
      <formula>"Sat"</formula>
    </cfRule>
    <cfRule type="cellIs" priority="52" operator="equal" dxfId="0" stopIfTrue="1">
      <formula>"Sun"</formula>
    </cfRule>
  </conditionalFormatting>
  <conditionalFormatting sqref="C18:F18">
    <cfRule type="cellIs" priority="29" operator="equal" dxfId="5" stopIfTrue="1">
      <formula>"Sat"</formula>
    </cfRule>
    <cfRule type="cellIs" priority="30" operator="equal" dxfId="0" stopIfTrue="1">
      <formula>"Sun"</formula>
    </cfRule>
  </conditionalFormatting>
  <conditionalFormatting sqref="C22:F22">
    <cfRule type="cellIs" priority="39" operator="equal" dxfId="5" stopIfTrue="1">
      <formula>"Sat"</formula>
    </cfRule>
    <cfRule type="cellIs" priority="40" operator="equal" dxfId="0" stopIfTrue="1">
      <formula>"Sun"</formula>
    </cfRule>
  </conditionalFormatting>
  <conditionalFormatting sqref="D27:D28">
    <cfRule type="cellIs" priority="53" operator="equal" dxfId="5" stopIfTrue="1">
      <formula>"Sat"</formula>
    </cfRule>
    <cfRule type="cellIs" priority="54" operator="equal" dxfId="0" stopIfTrue="1">
      <formula>"Sun"</formula>
    </cfRule>
  </conditionalFormatting>
  <conditionalFormatting sqref="D60:D65">
    <cfRule type="cellIs" priority="576" operator="equal" dxfId="5" stopIfTrue="1">
      <formula>"Sat"</formula>
    </cfRule>
    <cfRule type="cellIs" priority="577" operator="equal" dxfId="0" stopIfTrue="1">
      <formula>"Sun"</formula>
    </cfRule>
  </conditionalFormatting>
  <conditionalFormatting sqref="B67:B88 D67:D80">
    <cfRule type="cellIs" priority="571" operator="equal" dxfId="0" stopIfTrue="1">
      <formula>"Sun"</formula>
    </cfRule>
    <cfRule type="cellIs" priority="570" operator="equal" dxfId="5" stopIfTrue="1">
      <formula>"Sat"</formula>
    </cfRule>
  </conditionalFormatting>
  <conditionalFormatting sqref="D82:D88">
    <cfRule type="cellIs" priority="572" operator="equal" dxfId="5" stopIfTrue="1">
      <formula>"Sat"</formula>
    </cfRule>
    <cfRule type="cellIs" priority="573" operator="equal" dxfId="0" stopIfTrue="1">
      <formula>"Sun"</formula>
    </cfRule>
  </conditionalFormatting>
  <conditionalFormatting sqref="I20:I37">
    <cfRule type="cellIs" priority="586" operator="equal" dxfId="5" stopIfTrue="1">
      <formula>"Sat"</formula>
    </cfRule>
    <cfRule type="cellIs" priority="587" operator="equal" dxfId="0" stopIfTrue="1">
      <formula>"Sun"</formula>
    </cfRule>
  </conditionalFormatting>
  <conditionalFormatting sqref="I17:BS17">
    <cfRule type="cellIs" priority="17" operator="equal" dxfId="5" stopIfTrue="1">
      <formula>"Sat"</formula>
    </cfRule>
    <cfRule type="cellIs" priority="18" operator="equal" dxfId="0" stopIfTrue="1">
      <formula>"Sun"</formula>
    </cfRule>
  </conditionalFormatting>
  <conditionalFormatting sqref="I42:BS44">
    <cfRule type="cellIs" priority="168" operator="equal" dxfId="5" stopIfTrue="1">
      <formula>"Sat"</formula>
    </cfRule>
  </conditionalFormatting>
  <conditionalFormatting sqref="J23:X24">
    <cfRule type="cellIs" priority="28" operator="equal" dxfId="0" stopIfTrue="1">
      <formula>"Sun"</formula>
    </cfRule>
    <cfRule type="cellIs" priority="27" operator="equal" dxfId="5" stopIfTrue="1">
      <formula>"Sat"</formula>
    </cfRule>
  </conditionalFormatting>
  <conditionalFormatting sqref="J18:BS22">
    <cfRule type="cellIs" priority="81" operator="equal" dxfId="0" stopIfTrue="1">
      <formula>"Sun"</formula>
    </cfRule>
  </conditionalFormatting>
  <conditionalFormatting sqref="J25:BS28">
    <cfRule type="cellIs" priority="26" operator="equal" dxfId="0" stopIfTrue="1">
      <formula>"Sun"</formula>
    </cfRule>
    <cfRule type="cellIs" priority="25" operator="equal" dxfId="5" stopIfTrue="1">
      <formula>"Sat"</formula>
    </cfRule>
  </conditionalFormatting>
  <conditionalFormatting sqref="J18:BS22 J29:BS31 BI23:BO23">
    <cfRule type="cellIs" priority="57" operator="equal" dxfId="5" stopIfTrue="1">
      <formula>"Sat"</formula>
    </cfRule>
  </conditionalFormatting>
  <conditionalFormatting sqref="J32:BS38">
    <cfRule type="cellIs" priority="2" operator="equal" dxfId="0" stopIfTrue="1">
      <formula>"Sun"</formula>
    </cfRule>
  </conditionalFormatting>
  <conditionalFormatting sqref="J32:BS41">
    <cfRule type="cellIs" priority="1" operator="equal" dxfId="5" stopIfTrue="1">
      <formula>"Sat"</formula>
    </cfRule>
  </conditionalFormatting>
  <conditionalFormatting sqref="J39:BS44">
    <cfRule type="cellIs" priority="169" operator="equal" dxfId="0" stopIfTrue="1">
      <formula>"Sun"</formula>
    </cfRule>
  </conditionalFormatting>
  <conditionalFormatting sqref="Y23:BH23">
    <cfRule type="cellIs" priority="15" operator="equal" dxfId="5" stopIfTrue="1">
      <formula>"Sat"</formula>
    </cfRule>
    <cfRule type="cellIs" priority="16" operator="equal" dxfId="0" stopIfTrue="1">
      <formula>"Sun"</formula>
    </cfRule>
  </conditionalFormatting>
  <conditionalFormatting sqref="Y24:BS24">
    <cfRule type="cellIs" priority="21" operator="equal" dxfId="5" stopIfTrue="1">
      <formula>"Sat"</formula>
    </cfRule>
    <cfRule type="cellIs" priority="22" operator="equal" dxfId="0" stopIfTrue="1">
      <formula>"Sun"</formula>
    </cfRule>
  </conditionalFormatting>
  <conditionalFormatting sqref="J29:BS31 BI23:BO23">
    <cfRule type="cellIs" priority="58" operator="equal" dxfId="0" stopIfTrue="1">
      <formula>"Sun"</formula>
    </cfRule>
  </conditionalFormatting>
  <conditionalFormatting sqref="BL23">
    <cfRule type="cellIs" priority="55" operator="equal" dxfId="0" stopIfTrue="1">
      <formula>"Sun"</formula>
    </cfRule>
  </conditionalFormatting>
  <conditionalFormatting sqref="BL30">
    <cfRule type="cellIs" priority="56" operator="equal" dxfId="0" stopIfTrue="1">
      <formula>"Sun"</formula>
    </cfRule>
  </conditionalFormatting>
  <conditionalFormatting sqref="BP23:BS23">
    <cfRule type="cellIs" priority="13" operator="equal" dxfId="5" stopIfTrue="1">
      <formula>"Sat"</formula>
    </cfRule>
    <cfRule type="cellIs" priority="1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8.xml><?xml version="1.0" encoding="utf-8"?>
<worksheet xmlns="http://schemas.openxmlformats.org/spreadsheetml/2006/main">
  <sheetPr>
    <tabColor indexed="11"/>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bestFit="1" customWidth="1" style="1" min="2" max="2"/>
    <col width="12.63281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2" bestFit="1" customWidth="1" style="1" min="11" max="11"/>
    <col width="10.08984375" customWidth="1" style="1" min="12" max="12"/>
    <col width="12"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0.3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2"/>
    <col width="10.90625" customWidth="1" style="1" min="33" max="33"/>
    <col width="8.90625" customWidth="1" style="1" min="34" max="34"/>
    <col width="11" bestFit="1" customWidth="1" style="1" min="35" max="35"/>
    <col width="8.90625" customWidth="1" style="1" min="36" max="36"/>
    <col width="11" bestFit="1" customWidth="1" style="1" min="37" max="37"/>
    <col width="7.08984375" bestFit="1" customWidth="1" style="1" min="38" max="38"/>
    <col width="11" bestFit="1" customWidth="1" style="1" min="39" max="39"/>
    <col width="10.453125" customWidth="1" style="1" min="40" max="40"/>
    <col width="11" bestFit="1" customWidth="1" style="1" min="41" max="41"/>
    <col width="7.08984375" bestFit="1" customWidth="1" style="1" min="42" max="42"/>
    <col width="11" bestFit="1" customWidth="1" style="1" min="43" max="43"/>
    <col width="9.26953125" bestFit="1" customWidth="1" style="1" min="44" max="44"/>
    <col width="11" bestFit="1" customWidth="1" style="1" min="45" max="45"/>
    <col width="7.08984375" bestFit="1" customWidth="1" style="1" min="46" max="46"/>
    <col width="11" bestFit="1" customWidth="1" style="1" min="47" max="47"/>
    <col width="7.6328125" bestFit="1" customWidth="1" style="1" min="48" max="48"/>
    <col width="11" bestFit="1" customWidth="1" style="1" min="49" max="49"/>
    <col width="9.36328125" bestFit="1" customWidth="1" style="1" min="50" max="50"/>
    <col width="11" bestFit="1" customWidth="1" style="1" min="51" max="51"/>
    <col width="7.7265625" bestFit="1" customWidth="1" style="1" min="52" max="52"/>
    <col width="11" bestFit="1" customWidth="1" style="1" min="53" max="53"/>
    <col width="7.08984375" bestFit="1" customWidth="1" style="1" min="54" max="54"/>
    <col width="11" bestFit="1" customWidth="1" style="1" min="55" max="55"/>
    <col width="7.08984375" bestFit="1" customWidth="1" style="1" min="56" max="56"/>
    <col width="11" bestFit="1" customWidth="1" style="1" min="57" max="57"/>
    <col width="8.26953125" bestFit="1" customWidth="1" style="1" min="58" max="58"/>
    <col width="11.6328125" bestFit="1" customWidth="1" style="1" min="59" max="59"/>
    <col width="7.08984375" bestFit="1" customWidth="1" style="1" min="60" max="60"/>
    <col width="11" bestFit="1" customWidth="1" style="1" min="61" max="61"/>
    <col width="9.6328125" customWidth="1" style="1" min="62" max="62"/>
    <col width="11" bestFit="1" customWidth="1" style="1" min="63" max="63"/>
    <col width="9.6328125" bestFit="1" customWidth="1" style="1" min="64" max="64"/>
    <col width="11" bestFit="1" customWidth="1" style="1" min="65" max="65"/>
    <col width="10.90625" bestFit="1" customWidth="1" style="1" min="66" max="66"/>
    <col width="11" bestFit="1" customWidth="1" style="1" min="67" max="67"/>
    <col width="7.08984375" bestFit="1" customWidth="1" style="1" min="68" max="68"/>
    <col width="11" bestFit="1" customWidth="1" style="1" min="69" max="69"/>
    <col width="7.08984375" bestFit="1" customWidth="1" style="1" min="70" max="70"/>
    <col width="11"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7</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512"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F18+Jun!F22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79"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71"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0" t="n"/>
      <c r="S37" s="479" t="n"/>
      <c r="T37" s="371" t="n"/>
      <c r="U37" s="479" t="n"/>
      <c r="V37" s="371" t="n"/>
      <c r="W37" s="479" t="n"/>
      <c r="X37" s="371" t="n"/>
      <c r="Y37" s="479" t="n"/>
      <c r="Z37" s="372"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B46" s="176" t="n"/>
      <c r="C46" s="176" t="n"/>
      <c r="D46" s="176" t="n"/>
      <c r="E46" s="176" t="n"/>
    </row>
    <row r="47" ht="40" customHeight="1" s="304">
      <c r="B47" s="451"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49"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498" t="n"/>
      <c r="E49" s="45" t="n"/>
      <c r="G49" s="499" t="n"/>
    </row>
    <row r="50" ht="14" customHeight="1" s="304">
      <c r="B50" s="45" t="n"/>
      <c r="C50" s="500" t="n"/>
      <c r="D50" s="498" t="n"/>
      <c r="E50" s="45" t="n"/>
      <c r="G50" s="499" t="n"/>
    </row>
    <row r="51" ht="14" customHeight="1" s="304">
      <c r="B51" s="45" t="n"/>
      <c r="C51" s="500" t="n"/>
      <c r="D51" s="498" t="n"/>
      <c r="E51" s="45" t="n"/>
      <c r="G51" s="499" t="n"/>
    </row>
    <row r="52" ht="14" customHeight="1" s="304">
      <c r="B52" s="45" t="n"/>
      <c r="C52" s="500" t="n"/>
      <c r="D52" s="498" t="n"/>
      <c r="E52" s="45" t="n"/>
      <c r="F52" s="62" t="n"/>
      <c r="G52" s="499" t="n"/>
    </row>
    <row r="53" ht="14" customHeight="1" s="304">
      <c r="B53" s="45" t="n"/>
      <c r="C53" s="500" t="n"/>
      <c r="D53" s="498" t="n"/>
      <c r="E53" s="45" t="n"/>
      <c r="F53" s="62" t="n"/>
      <c r="G53" s="499" t="n"/>
    </row>
    <row r="54" ht="14" customHeight="1" s="304">
      <c r="B54" s="45" t="n"/>
      <c r="C54" s="500" t="n"/>
      <c r="D54" s="498" t="n"/>
      <c r="E54" s="45" t="n"/>
      <c r="F54" s="62" t="n"/>
      <c r="G54" s="499" t="n"/>
    </row>
    <row r="55" ht="14" customHeight="1" s="304">
      <c r="B55" s="45" t="n"/>
      <c r="C55" s="500" t="n"/>
      <c r="D55" s="498" t="n"/>
      <c r="E55" s="45" t="n"/>
      <c r="F55" s="62" t="n"/>
      <c r="G55" s="499" t="n"/>
    </row>
    <row r="56" ht="14" customHeight="1" s="304">
      <c r="B56" s="45" t="n"/>
      <c r="C56" s="500" t="n"/>
      <c r="D56" s="498" t="n"/>
      <c r="E56" s="45" t="n"/>
      <c r="F56" s="62" t="n"/>
      <c r="G56" s="499" t="n"/>
    </row>
    <row r="57" ht="14" customHeight="1" s="304">
      <c r="B57" s="45" t="n"/>
      <c r="C57" s="500" t="n"/>
      <c r="D57" s="498" t="n"/>
      <c r="E57" s="45" t="n"/>
      <c r="G57" s="499" t="n"/>
    </row>
    <row r="58" ht="14" customHeight="1" s="304">
      <c r="B58" s="45" t="n"/>
      <c r="C58" s="500" t="n"/>
      <c r="D58" s="498" t="n"/>
      <c r="E58" s="45" t="n"/>
      <c r="F58" s="62" t="n"/>
      <c r="G58" s="506" t="n"/>
      <c r="H58" s="62" t="n"/>
      <c r="I58" s="62" t="n"/>
    </row>
    <row r="59" ht="14" customHeight="1" s="304">
      <c r="B59" s="62" t="n"/>
      <c r="C59" s="498" t="n"/>
      <c r="D59" s="513" t="n"/>
      <c r="E59" s="62" t="n"/>
      <c r="F59" s="62" t="n"/>
      <c r="G59" s="506" t="n"/>
      <c r="H59" s="62" t="n"/>
      <c r="I59" s="62" t="n"/>
    </row>
    <row r="60" ht="14" customHeight="1" s="304">
      <c r="B60" s="62" t="n"/>
      <c r="C60" s="498" t="n"/>
      <c r="D60" s="498" t="n"/>
      <c r="E60" s="62" t="n"/>
      <c r="F60" s="62" t="n"/>
      <c r="G60" s="506" t="n"/>
      <c r="H60" s="62" t="n"/>
      <c r="I60" s="62" t="n"/>
    </row>
    <row r="61" ht="14" customHeight="1" s="304">
      <c r="B61" s="62" t="n"/>
      <c r="C61" s="498" t="n"/>
      <c r="D61" s="498" t="n"/>
      <c r="E61" s="62" t="n"/>
      <c r="F61" s="62" t="n"/>
      <c r="G61" s="506" t="n"/>
      <c r="H61" s="62" t="n"/>
      <c r="I61" s="62" t="n"/>
    </row>
    <row r="62" ht="14" customHeight="1" s="304">
      <c r="B62" s="62" t="n"/>
      <c r="C62" s="498" t="n"/>
      <c r="D62" s="498" t="n"/>
      <c r="E62" s="62" t="n"/>
      <c r="F62" s="62" t="n"/>
      <c r="G62" s="506" t="n"/>
      <c r="H62" s="62" t="n"/>
      <c r="I62" s="62" t="n"/>
    </row>
    <row r="63" ht="14" customHeight="1" s="304">
      <c r="B63" s="62" t="n"/>
      <c r="C63" s="498" t="n"/>
      <c r="D63" s="498" t="n"/>
      <c r="E63" s="62" t="n"/>
      <c r="F63" s="62" t="n"/>
      <c r="G63" s="506" t="n"/>
      <c r="H63" s="62" t="n"/>
      <c r="I63" s="62" t="n"/>
    </row>
    <row r="64" ht="14" customHeight="1" s="304">
      <c r="B64" s="62" t="n"/>
      <c r="C64" s="498" t="n"/>
      <c r="D64" s="498" t="n"/>
      <c r="E64" s="62" t="n"/>
      <c r="F64" s="62" t="n"/>
      <c r="G64" s="506" t="n"/>
      <c r="H64" s="62" t="n"/>
      <c r="I64" s="62" t="n"/>
    </row>
    <row r="65" ht="14" customHeight="1" s="304">
      <c r="B65" s="62" t="n"/>
      <c r="C65" s="498" t="n"/>
      <c r="D65" s="498" t="n"/>
      <c r="E65" s="62" t="n"/>
      <c r="F65" s="62" t="n"/>
      <c r="G65" s="506" t="n"/>
      <c r="H65" s="62" t="n"/>
      <c r="I65" s="62" t="n"/>
    </row>
    <row r="66" ht="14" customHeight="1" s="304">
      <c r="B66" s="62" t="n"/>
      <c r="C66" s="498" t="n"/>
      <c r="D66" s="498" t="n"/>
      <c r="E66" s="62" t="n"/>
      <c r="F66" s="62" t="n"/>
      <c r="G66" s="506" t="n"/>
      <c r="H66" s="62" t="n"/>
      <c r="I66" s="62" t="n"/>
    </row>
    <row r="67" ht="14.25" customHeight="1" s="304">
      <c r="B67" s="62" t="n"/>
      <c r="C67" s="498" t="n"/>
      <c r="D67" s="498" t="n"/>
      <c r="E67" s="62" t="n"/>
      <c r="F67" s="62" t="n"/>
      <c r="G67" s="506" t="n"/>
      <c r="H67" s="62" t="n"/>
      <c r="I67" s="62" t="n"/>
    </row>
    <row r="68" ht="14" customHeight="1" s="304">
      <c r="B68" s="62" t="n"/>
      <c r="C68" s="498" t="n"/>
      <c r="D68" s="498" t="n"/>
      <c r="E68" s="62" t="n"/>
      <c r="F68" s="62" t="n"/>
      <c r="G68" s="506" t="n"/>
      <c r="H68" s="62" t="n"/>
      <c r="I68" s="62" t="n"/>
    </row>
    <row r="69" ht="14" customHeight="1" s="304">
      <c r="B69" s="62" t="n"/>
      <c r="C69" s="498" t="n"/>
      <c r="D69" s="498" t="n"/>
      <c r="E69" s="62" t="n"/>
      <c r="F69" s="62" t="n"/>
      <c r="G69" s="506" t="n"/>
      <c r="H69" s="62" t="n"/>
      <c r="I69" s="62" t="n"/>
    </row>
    <row r="70" ht="14" customHeight="1" s="304">
      <c r="B70" s="62" t="n"/>
      <c r="C70" s="498" t="n"/>
      <c r="D70" s="498" t="n"/>
      <c r="E70" s="62" t="n"/>
      <c r="F70" s="62" t="n"/>
      <c r="G70" s="506" t="n"/>
      <c r="H70" s="62" t="n"/>
      <c r="I70" s="62" t="n"/>
    </row>
    <row r="71" ht="14" customHeight="1" s="304">
      <c r="B71" s="62" t="n"/>
      <c r="C71" s="498" t="n"/>
      <c r="D71" s="498" t="n"/>
      <c r="E71" s="62" t="n"/>
      <c r="F71" s="62" t="n"/>
      <c r="G71" s="506" t="n"/>
      <c r="H71" s="62" t="n"/>
      <c r="I71" s="62" t="n"/>
    </row>
    <row r="72" ht="14" customHeight="1" s="304">
      <c r="B72" s="62" t="n"/>
      <c r="C72" s="498" t="n"/>
      <c r="D72" s="498" t="n"/>
      <c r="E72" s="62" t="n"/>
      <c r="F72" s="62" t="n"/>
      <c r="G72" s="506" t="n"/>
      <c r="H72" s="62" t="n"/>
      <c r="I72" s="62" t="n"/>
    </row>
    <row r="73" ht="14" customHeight="1" s="304">
      <c r="B73" s="62" t="n"/>
      <c r="C73" s="498" t="n"/>
      <c r="D73" s="498" t="n"/>
      <c r="E73" s="62" t="n"/>
      <c r="F73" s="62" t="n"/>
      <c r="G73" s="506" t="n"/>
      <c r="H73" s="62" t="n"/>
      <c r="I73" s="62" t="n"/>
    </row>
    <row r="74" ht="14" customHeight="1" s="304">
      <c r="B74" s="62" t="n"/>
      <c r="C74" s="498" t="n"/>
      <c r="D74" s="498" t="n"/>
      <c r="E74" s="62" t="n"/>
      <c r="F74" s="62" t="n"/>
      <c r="G74" s="506" t="n"/>
      <c r="H74" s="62" t="n"/>
      <c r="I74" s="62" t="n"/>
    </row>
    <row r="75" ht="14" customHeight="1" s="304">
      <c r="B75" s="62" t="n"/>
      <c r="C75" s="498" t="n"/>
      <c r="D75" s="498" t="n"/>
      <c r="E75" s="62" t="n"/>
      <c r="F75" s="62" t="n"/>
      <c r="G75" s="506" t="n"/>
      <c r="H75" s="62" t="n"/>
      <c r="I75" s="62" t="n"/>
    </row>
    <row r="76" ht="14" customHeight="1" s="304">
      <c r="B76" s="62" t="n"/>
      <c r="C76" s="498" t="n"/>
      <c r="D76" s="498" t="n"/>
      <c r="E76" s="62" t="n"/>
      <c r="F76" s="62" t="n"/>
      <c r="G76" s="506" t="n"/>
      <c r="H76" s="62" t="n"/>
      <c r="I76" s="62" t="n"/>
    </row>
    <row r="77" ht="14" customHeight="1" s="304">
      <c r="B77" s="62" t="n"/>
      <c r="C77" s="498" t="n"/>
      <c r="D77" s="498" t="n"/>
      <c r="E77" s="62" t="n"/>
      <c r="F77" s="62" t="n"/>
      <c r="G77" s="506" t="n"/>
      <c r="H77" s="62" t="n"/>
      <c r="I77" s="62" t="n"/>
    </row>
    <row r="78" ht="14" customHeight="1" s="304">
      <c r="B78" s="62" t="n"/>
      <c r="C78" s="498" t="n"/>
      <c r="D78" s="498" t="n"/>
      <c r="E78" s="62" t="n"/>
      <c r="F78" s="62" t="n"/>
      <c r="G78" s="506" t="n"/>
      <c r="H78" s="62" t="n"/>
      <c r="I78" s="62" t="n"/>
    </row>
    <row r="79" ht="14" customHeight="1" s="304">
      <c r="B79" s="62" t="n"/>
      <c r="C79" s="498" t="n"/>
      <c r="D79" s="498" t="n"/>
      <c r="E79" s="62" t="n"/>
      <c r="F79" s="62" t="n"/>
      <c r="G79" s="506" t="n"/>
      <c r="H79" s="62" t="n"/>
      <c r="I79" s="62" t="n"/>
    </row>
    <row r="80" ht="14" customHeight="1" s="304">
      <c r="B80" s="62" t="n"/>
      <c r="C80" s="498" t="n"/>
      <c r="D80" s="498" t="n"/>
      <c r="E80" s="62" t="n"/>
      <c r="F80" s="62" t="n"/>
      <c r="G80" s="506" t="n"/>
      <c r="H80" s="62" t="n"/>
      <c r="I80" s="62" t="n"/>
    </row>
    <row r="81" ht="14" customHeight="1" s="304">
      <c r="B81" s="62" t="n"/>
      <c r="C81" s="498" t="n"/>
      <c r="D81" s="498" t="n"/>
      <c r="E81" s="62" t="n"/>
      <c r="F81" s="62" t="n"/>
      <c r="G81" s="506" t="n"/>
      <c r="H81" s="62" t="n"/>
      <c r="I81" s="62" t="n"/>
    </row>
    <row r="82" ht="14" customHeight="1" s="304">
      <c r="B82" s="62" t="n"/>
      <c r="C82" s="498" t="n"/>
      <c r="D82" s="498" t="n"/>
      <c r="E82" s="62" t="n"/>
      <c r="F82" s="62" t="n"/>
      <c r="G82" s="506" t="n"/>
      <c r="H82" s="62" t="n"/>
      <c r="I82" s="62" t="n"/>
    </row>
    <row r="83" ht="14" customHeight="1" s="304">
      <c r="B83" s="62" t="n"/>
      <c r="C83" s="498" t="n"/>
      <c r="D83" s="498" t="n"/>
      <c r="E83" s="62" t="n"/>
      <c r="F83" s="62" t="n"/>
      <c r="G83" s="506" t="n"/>
      <c r="H83" s="62" t="n"/>
      <c r="I83" s="62" t="n"/>
    </row>
    <row r="84" ht="14" customHeight="1" s="304">
      <c r="B84" s="62" t="n"/>
      <c r="C84" s="498" t="n"/>
      <c r="D84" s="498" t="n"/>
      <c r="E84" s="62" t="n"/>
      <c r="F84" s="62" t="n"/>
      <c r="G84" s="506" t="n"/>
      <c r="H84" s="62" t="n"/>
      <c r="I84" s="62" t="n"/>
    </row>
    <row r="85" ht="14" customHeight="1" s="304">
      <c r="B85" s="62" t="n"/>
      <c r="C85" s="498" t="n"/>
      <c r="D85" s="498" t="n"/>
      <c r="E85" s="62" t="n"/>
      <c r="F85" s="62" t="n"/>
      <c r="G85" s="506" t="n"/>
      <c r="H85" s="62" t="n"/>
      <c r="I85" s="62" t="n"/>
    </row>
    <row r="86" ht="14" customHeight="1" s="304">
      <c r="B86" s="62" t="n"/>
      <c r="C86" s="498" t="n"/>
      <c r="D86" s="498" t="n"/>
      <c r="E86" s="62" t="n"/>
      <c r="F86" s="62" t="n"/>
      <c r="G86" s="506" t="n"/>
      <c r="H86" s="62" t="n"/>
      <c r="I86" s="62" t="n"/>
    </row>
    <row r="87" ht="14" customHeight="1" s="304">
      <c r="B87" s="62" t="n"/>
      <c r="C87" s="498" t="n"/>
      <c r="D87" s="498" t="n"/>
      <c r="E87" s="62" t="n"/>
      <c r="F87" s="62" t="n"/>
      <c r="G87" s="506" t="n"/>
      <c r="H87" s="62" t="n"/>
      <c r="I87" s="62" t="n"/>
    </row>
    <row r="88" ht="14" customHeight="1" s="304">
      <c r="B88" s="62" t="n"/>
      <c r="C88" s="498" t="n"/>
      <c r="D88" s="498" t="n"/>
      <c r="E88" s="62" t="n"/>
      <c r="F88" s="62" t="n"/>
      <c r="G88" s="506" t="n"/>
      <c r="H88" s="62" t="n"/>
      <c r="I88" s="62" t="n"/>
    </row>
    <row r="89" ht="14" customHeight="1" s="304">
      <c r="B89" s="62" t="n"/>
      <c r="C89" s="498" t="n"/>
      <c r="D89" s="498" t="n"/>
      <c r="E89" s="62" t="n"/>
      <c r="F89" s="62" t="n"/>
      <c r="G89" s="506" t="n"/>
      <c r="H89" s="62" t="n"/>
      <c r="I89" s="62" t="n"/>
    </row>
    <row r="90" ht="14" customHeight="1" s="304">
      <c r="B90" s="62" t="n"/>
      <c r="C90" s="498" t="n"/>
      <c r="D90" s="498" t="n"/>
      <c r="E90" s="62" t="n"/>
      <c r="F90" s="62" t="n"/>
      <c r="G90" s="506" t="n"/>
      <c r="H90" s="62" t="n"/>
      <c r="I90" s="62" t="n"/>
    </row>
    <row r="91" ht="14" customHeight="1" s="304">
      <c r="B91" s="62" t="n"/>
      <c r="C91" s="498" t="n"/>
      <c r="D91" s="498" t="n"/>
      <c r="E91" s="62" t="n"/>
      <c r="F91" s="62" t="n"/>
      <c r="G91" s="506" t="n"/>
      <c r="H91" s="62" t="n"/>
      <c r="I91" s="62" t="n"/>
    </row>
    <row r="92" ht="14" customHeight="1" s="304">
      <c r="B92" s="62" t="n"/>
      <c r="C92" s="498" t="n"/>
      <c r="D92" s="498" t="n"/>
      <c r="E92" s="62" t="n"/>
      <c r="F92" s="62" t="n"/>
      <c r="G92" s="506" t="n"/>
      <c r="H92" s="62" t="n"/>
      <c r="I92" s="62" t="n"/>
    </row>
    <row r="93" ht="14" customHeight="1" s="304">
      <c r="B93" s="62" t="n"/>
      <c r="C93" s="498" t="n"/>
      <c r="D93" s="498" t="n"/>
      <c r="E93" s="62" t="n"/>
      <c r="F93" s="62" t="n"/>
      <c r="G93" s="506" t="n"/>
      <c r="H93" s="62" t="n"/>
      <c r="I93" s="62" t="n"/>
    </row>
    <row r="94" ht="14" customHeight="1" s="304">
      <c r="B94" s="62" t="n"/>
      <c r="C94" s="498" t="n"/>
      <c r="D94" s="498" t="n"/>
      <c r="E94" s="62" t="n"/>
      <c r="F94" s="62" t="n"/>
      <c r="G94" s="506" t="n"/>
      <c r="H94" s="62" t="n"/>
      <c r="I94" s="62" t="n"/>
    </row>
    <row r="95" ht="14" customHeight="1" s="304">
      <c r="B95" s="62" t="n"/>
      <c r="C95" s="498" t="n"/>
      <c r="D95" s="498" t="n"/>
      <c r="E95" s="62" t="n"/>
      <c r="F95" s="62" t="n"/>
      <c r="G95" s="506" t="n"/>
      <c r="H95" s="62" t="n"/>
      <c r="I95" s="62" t="n"/>
    </row>
    <row r="96" ht="14" customHeight="1" s="304">
      <c r="B96" s="62" t="n"/>
      <c r="C96" s="498" t="n"/>
      <c r="D96" s="498" t="n"/>
      <c r="E96" s="62" t="n"/>
      <c r="F96" s="62" t="n"/>
      <c r="G96" s="506" t="n"/>
      <c r="H96" s="62" t="n"/>
      <c r="I96" s="62" t="n"/>
    </row>
    <row r="97" ht="14" customHeight="1" s="304">
      <c r="B97" s="62" t="n"/>
      <c r="C97" s="498" t="n"/>
      <c r="D97" s="498" t="n"/>
      <c r="E97" s="62" t="n"/>
      <c r="F97" s="62" t="n"/>
      <c r="G97" s="506" t="n"/>
      <c r="H97" s="62" t="n"/>
      <c r="I97" s="62" t="n"/>
    </row>
    <row r="98" ht="14" customHeight="1" s="304">
      <c r="B98" s="62" t="n"/>
      <c r="C98" s="498" t="n"/>
      <c r="D98" s="498" t="n"/>
      <c r="E98" s="62" t="n"/>
      <c r="F98" s="62" t="n"/>
      <c r="G98" s="506" t="n"/>
      <c r="H98" s="62" t="n"/>
      <c r="I98" s="62" t="n"/>
    </row>
    <row r="99" ht="14" customHeight="1" s="304">
      <c r="B99" s="62" t="n"/>
      <c r="C99" s="498" t="n"/>
      <c r="D99" s="498" t="n"/>
      <c r="E99" s="62" t="n"/>
      <c r="F99" s="62" t="n"/>
      <c r="G99" s="506" t="n"/>
      <c r="H99" s="62" t="n"/>
      <c r="I99" s="62" t="n"/>
    </row>
    <row r="100" ht="14" customHeight="1" s="304">
      <c r="B100" s="62" t="n"/>
      <c r="C100" s="498" t="n"/>
      <c r="D100" s="498" t="n"/>
      <c r="E100" s="62" t="n"/>
      <c r="F100" s="62" t="n"/>
      <c r="G100" s="506" t="n"/>
      <c r="H100" s="62" t="n"/>
      <c r="I100" s="62" t="n"/>
    </row>
    <row r="101" ht="14" customHeight="1" s="304">
      <c r="B101" s="62" t="n"/>
      <c r="C101" s="498" t="n"/>
      <c r="D101" s="498" t="n"/>
      <c r="E101" s="62" t="n"/>
      <c r="F101" s="62" t="n"/>
      <c r="G101" s="506" t="n"/>
      <c r="H101" s="62" t="n"/>
      <c r="I101" s="62" t="n"/>
    </row>
    <row r="102" ht="14" customHeight="1" s="304">
      <c r="B102" s="62" t="n"/>
      <c r="C102" s="498" t="n"/>
      <c r="D102" s="498" t="n"/>
      <c r="E102" s="62" t="n"/>
      <c r="F102" s="62" t="n"/>
      <c r="G102" s="506" t="n"/>
      <c r="H102" s="62" t="n"/>
      <c r="I102" s="62" t="n"/>
    </row>
    <row r="103" ht="14" customHeight="1" s="304">
      <c r="B103" s="62" t="n"/>
      <c r="C103" s="498" t="n"/>
      <c r="D103" s="498" t="n"/>
      <c r="E103" s="62" t="n"/>
      <c r="F103" s="62" t="n"/>
      <c r="G103" s="506" t="n"/>
      <c r="H103" s="62" t="n"/>
      <c r="I103" s="62" t="n"/>
    </row>
    <row r="104" ht="14" customHeight="1" s="304">
      <c r="B104" s="62" t="n"/>
      <c r="C104" s="498" t="n"/>
      <c r="D104" s="498" t="n"/>
      <c r="E104" s="62" t="n"/>
      <c r="F104" s="62" t="n"/>
      <c r="G104" s="506" t="n"/>
      <c r="H104" s="62" t="n"/>
      <c r="I104" s="62" t="n"/>
    </row>
    <row r="105" ht="14" customHeight="1" s="304">
      <c r="B105" s="62" t="n"/>
      <c r="C105" s="498" t="n"/>
      <c r="D105" s="498" t="n"/>
      <c r="E105" s="62" t="n"/>
      <c r="F105" s="62" t="n"/>
      <c r="G105" s="506" t="n"/>
      <c r="H105" s="62" t="n"/>
      <c r="I105" s="62" t="n"/>
    </row>
    <row r="106" ht="14" customHeight="1" s="304">
      <c r="B106" s="62" t="n"/>
      <c r="C106" s="498" t="n"/>
      <c r="D106" s="498" t="n"/>
      <c r="E106" s="62" t="n"/>
      <c r="F106" s="62" t="n"/>
      <c r="G106" s="506" t="n"/>
      <c r="H106" s="62" t="n"/>
      <c r="I106" s="62" t="n"/>
    </row>
    <row r="107" ht="14" customHeight="1" s="304">
      <c r="B107" s="62" t="n"/>
      <c r="C107" s="498" t="n"/>
      <c r="D107" s="498" t="n"/>
      <c r="E107" s="62" t="n"/>
      <c r="F107" s="62" t="n"/>
      <c r="G107" s="506" t="n"/>
      <c r="H107" s="62" t="n"/>
      <c r="I107" s="62" t="n"/>
    </row>
    <row r="108" ht="14" customHeight="1" s="304">
      <c r="B108" s="62" t="n"/>
      <c r="C108" s="498" t="n"/>
      <c r="D108" s="498" t="n"/>
      <c r="E108" s="62" t="n"/>
      <c r="F108" s="62" t="n"/>
      <c r="G108" s="506" t="n"/>
      <c r="H108" s="62" t="n"/>
      <c r="I108" s="62" t="n"/>
    </row>
    <row r="109" ht="14" customHeight="1" s="304">
      <c r="B109" s="62" t="n"/>
      <c r="C109" s="498" t="n"/>
      <c r="D109" s="498" t="n"/>
      <c r="E109" s="62" t="n"/>
      <c r="F109" s="62" t="n"/>
      <c r="G109" s="506" t="n"/>
      <c r="H109" s="62" t="n"/>
      <c r="I109" s="62" t="n"/>
    </row>
    <row r="110" ht="14" customHeight="1" s="304">
      <c r="B110" s="62" t="n"/>
      <c r="C110" s="498" t="n"/>
      <c r="D110" s="498" t="n"/>
      <c r="E110" s="62" t="n"/>
      <c r="F110" s="62" t="n"/>
      <c r="G110" s="506" t="n"/>
      <c r="H110" s="62" t="n"/>
      <c r="I110" s="62" t="n"/>
    </row>
    <row r="111" ht="14" customHeight="1" s="304">
      <c r="B111" s="62" t="n"/>
      <c r="C111" s="498" t="n"/>
      <c r="D111" s="498" t="n"/>
      <c r="E111" s="62" t="n"/>
      <c r="F111" s="62" t="n"/>
      <c r="G111" s="506" t="n"/>
      <c r="H111" s="62" t="n"/>
      <c r="I111" s="62" t="n"/>
    </row>
    <row r="112" ht="14" customHeight="1" s="304">
      <c r="B112" s="62" t="n"/>
      <c r="C112" s="498" t="n"/>
      <c r="D112" s="498" t="n"/>
      <c r="E112" s="62" t="n"/>
      <c r="F112" s="62" t="n"/>
      <c r="G112" s="506" t="n"/>
      <c r="H112" s="62" t="n"/>
      <c r="I112" s="62" t="n"/>
    </row>
    <row r="113" ht="14" customHeight="1" s="304">
      <c r="B113" s="62" t="n"/>
      <c r="C113" s="498" t="n"/>
      <c r="D113" s="498" t="n"/>
      <c r="E113" s="62" t="n"/>
      <c r="F113" s="62" t="n"/>
      <c r="G113" s="506" t="n"/>
      <c r="H113" s="62" t="n"/>
      <c r="I113" s="62" t="n"/>
    </row>
    <row r="114" ht="14" customHeight="1" s="304">
      <c r="B114" s="62" t="n"/>
      <c r="C114" s="498" t="n"/>
      <c r="D114" s="498" t="n"/>
      <c r="E114" s="62" t="n"/>
      <c r="F114" s="62" t="n"/>
      <c r="G114" s="506" t="n"/>
      <c r="H114" s="62" t="n"/>
      <c r="I114" s="62" t="n"/>
    </row>
    <row r="115" ht="14" customHeight="1" s="304">
      <c r="B115" s="62" t="n"/>
      <c r="C115" s="498" t="n"/>
      <c r="D115" s="498" t="n"/>
      <c r="E115" s="62" t="n"/>
      <c r="F115" s="62" t="n"/>
      <c r="G115" s="506" t="n"/>
      <c r="H115" s="62" t="n"/>
      <c r="I115" s="62" t="n"/>
    </row>
    <row r="116" ht="14" customHeight="1" s="304">
      <c r="B116" s="62" t="n"/>
      <c r="C116" s="498" t="n"/>
      <c r="D116" s="498" t="n"/>
      <c r="E116" s="62" t="n"/>
      <c r="F116" s="62" t="n"/>
      <c r="G116" s="506" t="n"/>
      <c r="H116" s="62" t="n"/>
      <c r="I116" s="62" t="n"/>
    </row>
    <row r="117" ht="14" customHeight="1" s="304">
      <c r="B117" s="62" t="n"/>
      <c r="C117" s="498" t="n"/>
      <c r="D117" s="498" t="n"/>
      <c r="E117" s="62" t="n"/>
      <c r="F117" s="62" t="n"/>
      <c r="G117" s="506" t="n"/>
      <c r="H117" s="62" t="n"/>
      <c r="I117" s="62" t="n"/>
    </row>
    <row r="118" ht="14" customHeight="1" s="304">
      <c r="B118" s="62" t="n"/>
      <c r="C118" s="498" t="n"/>
      <c r="D118" s="498" t="n"/>
      <c r="E118" s="62" t="n"/>
      <c r="F118" s="62" t="n"/>
      <c r="G118" s="506" t="n"/>
      <c r="H118" s="62" t="n"/>
      <c r="I118" s="62" t="n"/>
    </row>
    <row r="119" ht="14" customHeight="1" s="304">
      <c r="B119" s="62" t="n"/>
      <c r="C119" s="498" t="n"/>
      <c r="D119" s="498" t="n"/>
      <c r="E119" s="62" t="n"/>
      <c r="F119" s="62" t="n"/>
      <c r="G119" s="506" t="n"/>
      <c r="H119" s="62" t="n"/>
      <c r="I119" s="62" t="n"/>
    </row>
    <row r="120" ht="14" customHeight="1" s="304">
      <c r="B120" s="62" t="n"/>
      <c r="C120" s="498" t="n"/>
      <c r="D120" s="498" t="n"/>
      <c r="E120" s="62" t="n"/>
      <c r="F120" s="62" t="n"/>
      <c r="G120" s="506" t="n"/>
      <c r="H120" s="62" t="n"/>
      <c r="I120" s="62" t="n"/>
    </row>
    <row r="121" ht="14" customHeight="1" s="304">
      <c r="B121" s="62" t="n"/>
      <c r="C121" s="498" t="n"/>
      <c r="D121" s="498" t="n"/>
      <c r="E121" s="62" t="n"/>
      <c r="F121" s="62" t="n"/>
      <c r="G121" s="506" t="n"/>
      <c r="H121" s="62" t="n"/>
      <c r="I121" s="62" t="n"/>
    </row>
    <row r="122" ht="14" customHeight="1" s="304">
      <c r="B122" s="62" t="n"/>
      <c r="C122" s="498" t="n"/>
      <c r="D122" s="498" t="n"/>
      <c r="E122" s="62" t="n"/>
      <c r="F122" s="62" t="n"/>
      <c r="G122" s="506" t="n"/>
      <c r="H122" s="62" t="n"/>
      <c r="I122" s="62" t="n"/>
    </row>
    <row r="123" ht="14" customHeight="1" s="304">
      <c r="B123" s="62" t="n"/>
      <c r="C123" s="498" t="n"/>
      <c r="D123" s="498" t="n"/>
      <c r="E123" s="62" t="n"/>
      <c r="F123" s="62" t="n"/>
      <c r="G123" s="506" t="n"/>
      <c r="H123" s="62" t="n"/>
      <c r="I123" s="62" t="n"/>
      <c r="AX123" s="166" t="n"/>
    </row>
    <row r="124" ht="14" customHeight="1" s="304">
      <c r="B124" s="62" t="n"/>
      <c r="C124" s="498" t="n"/>
      <c r="D124" s="498" t="n"/>
      <c r="E124" s="62" t="n"/>
      <c r="F124" s="62" t="n"/>
      <c r="G124" s="506" t="n"/>
      <c r="H124" s="62" t="n"/>
      <c r="I124" s="62" t="n"/>
    </row>
    <row r="125" ht="14" customHeight="1" s="304">
      <c r="B125" s="62" t="n"/>
      <c r="C125" s="498" t="n"/>
      <c r="D125" s="498" t="n"/>
      <c r="E125" s="62" t="n"/>
      <c r="F125" s="62" t="n"/>
      <c r="G125" s="506" t="n"/>
      <c r="H125" s="62" t="n"/>
      <c r="I125" s="62" t="n"/>
    </row>
    <row r="126" ht="14" customHeight="1" s="304">
      <c r="B126" s="62" t="n"/>
      <c r="C126" s="498" t="n"/>
      <c r="D126" s="498" t="n"/>
      <c r="E126" s="62" t="n"/>
      <c r="F126" s="62" t="n"/>
      <c r="G126" s="506" t="n"/>
      <c r="H126" s="62" t="n"/>
      <c r="I126" s="62" t="n"/>
    </row>
    <row r="127" ht="13.5" customHeight="1" s="304">
      <c r="C127" s="502" t="n"/>
      <c r="D127" s="502" t="n"/>
      <c r="G127" s="499" t="n"/>
    </row>
    <row r="128" ht="14" customHeight="1" s="304">
      <c r="B128" s="62" t="n"/>
      <c r="C128" s="498" t="n"/>
      <c r="D128" s="498" t="n"/>
      <c r="E128" s="62" t="n"/>
      <c r="F128" s="62" t="n"/>
      <c r="G128" s="506" t="n"/>
      <c r="H128" s="62" t="n"/>
      <c r="I128" s="62" t="n"/>
    </row>
    <row r="129" ht="14" customHeight="1" s="304">
      <c r="B129" s="62" t="n"/>
      <c r="C129" s="498" t="n"/>
      <c r="D129" s="498" t="n"/>
      <c r="E129" s="62" t="n"/>
      <c r="F129" s="62" t="n"/>
      <c r="G129" s="506" t="n"/>
      <c r="H129" s="62" t="n"/>
      <c r="I129" s="62" t="n"/>
    </row>
    <row r="130" ht="14" customHeight="1" s="304">
      <c r="B130" s="62" t="n"/>
      <c r="C130" s="498" t="n"/>
      <c r="D130" s="498" t="n"/>
      <c r="E130" s="62" t="n"/>
      <c r="F130" s="62" t="n"/>
      <c r="G130" s="506" t="n"/>
      <c r="H130" s="62" t="n"/>
      <c r="I130" s="62" t="n"/>
    </row>
    <row r="131" ht="14" customHeight="1" s="304">
      <c r="B131" s="62" t="n"/>
      <c r="C131" s="498" t="n"/>
      <c r="D131" s="498" t="n"/>
      <c r="E131" s="62" t="n"/>
      <c r="F131" s="62" t="n"/>
      <c r="G131" s="506" t="n"/>
      <c r="H131" s="62" t="n"/>
      <c r="I131" s="62" t="n"/>
    </row>
    <row r="132" ht="14" customHeight="1" s="304">
      <c r="B132" s="62" t="n"/>
      <c r="C132" s="498" t="n"/>
      <c r="D132" s="498" t="n"/>
      <c r="E132" s="62" t="n"/>
      <c r="F132" s="62" t="n"/>
      <c r="G132" s="506" t="n"/>
      <c r="H132" s="62" t="n"/>
      <c r="I132" s="62" t="n"/>
    </row>
    <row r="133" ht="14" customHeight="1" s="304">
      <c r="B133" s="62" t="n"/>
      <c r="C133" s="498" t="n"/>
      <c r="D133" s="498" t="n"/>
      <c r="E133" s="62" t="n"/>
      <c r="F133" s="62" t="n"/>
      <c r="G133" s="506" t="n"/>
      <c r="H133" s="62" t="n"/>
      <c r="I133" s="62" t="n"/>
    </row>
    <row r="134" ht="14" customHeight="1" s="304">
      <c r="B134" s="62" t="n"/>
      <c r="C134" s="498" t="n"/>
      <c r="D134" s="498" t="n"/>
      <c r="E134" s="62" t="n"/>
      <c r="F134" s="62" t="n"/>
      <c r="G134" s="506" t="n"/>
      <c r="H134" s="62" t="n"/>
      <c r="I134" s="62" t="n"/>
    </row>
    <row r="135" ht="14" customHeight="1" s="304">
      <c r="B135" s="62" t="n"/>
      <c r="C135" s="498" t="n"/>
      <c r="D135" s="498" t="n"/>
      <c r="E135" s="62" t="n"/>
      <c r="F135" s="62" t="n"/>
      <c r="G135" s="506" t="n"/>
      <c r="H135" s="62" t="n"/>
      <c r="I135" s="62" t="n"/>
    </row>
    <row r="136" ht="14" customHeight="1" s="304">
      <c r="B136" s="62" t="n"/>
      <c r="C136" s="498" t="n"/>
      <c r="D136" s="498" t="n"/>
      <c r="E136" s="62" t="n"/>
      <c r="F136" s="62" t="n"/>
      <c r="G136" s="506" t="n"/>
      <c r="H136" s="62" t="n"/>
      <c r="I136" s="62" t="n"/>
    </row>
    <row r="137" ht="14" customHeight="1" s="304">
      <c r="B137" s="62" t="n"/>
      <c r="C137" s="498" t="n"/>
      <c r="D137" s="498" t="n"/>
      <c r="E137" s="62" t="n"/>
      <c r="F137" s="62" t="n"/>
      <c r="G137" s="506" t="n"/>
      <c r="H137" s="62" t="n"/>
      <c r="I137" s="62" t="n"/>
    </row>
    <row r="138" ht="14" customHeight="1" s="304">
      <c r="B138" s="62" t="n"/>
      <c r="C138" s="498" t="n"/>
      <c r="D138" s="498" t="n"/>
      <c r="E138" s="62" t="n"/>
      <c r="F138" s="62" t="n"/>
      <c r="G138" s="506" t="n"/>
      <c r="H138" s="62" t="n"/>
      <c r="I138" s="62" t="n"/>
    </row>
    <row r="139" ht="14" customHeight="1" s="304">
      <c r="B139" s="62" t="n"/>
      <c r="C139" s="498" t="n"/>
      <c r="D139" s="498" t="n"/>
      <c r="E139" s="62" t="n"/>
      <c r="F139" s="62" t="n"/>
      <c r="G139" s="506" t="n"/>
      <c r="H139" s="62" t="n"/>
      <c r="I139" s="62" t="n"/>
    </row>
    <row r="140" ht="14" customHeight="1" s="304">
      <c r="B140" s="62" t="n"/>
      <c r="C140" s="498" t="n"/>
      <c r="D140" s="498" t="n"/>
      <c r="E140" s="62" t="n"/>
      <c r="F140" s="62" t="n"/>
      <c r="G140" s="506" t="n"/>
      <c r="H140" s="62" t="n"/>
      <c r="I140" s="62" t="n"/>
    </row>
    <row r="141" ht="14" customHeight="1" s="304">
      <c r="B141" s="62" t="n"/>
      <c r="C141" s="498" t="n"/>
      <c r="D141" s="498" t="n"/>
      <c r="E141" s="62" t="n"/>
      <c r="F141" s="62" t="n"/>
      <c r="G141" s="506" t="n"/>
      <c r="H141" s="62" t="n"/>
      <c r="I141" s="62" t="n"/>
    </row>
    <row r="142" ht="14" customHeight="1" s="304">
      <c r="B142" s="62" t="n"/>
      <c r="C142" s="498" t="n"/>
      <c r="D142" s="498" t="n"/>
      <c r="E142" s="62" t="n"/>
      <c r="F142" s="62" t="n"/>
      <c r="G142" s="506" t="n"/>
      <c r="H142" s="62" t="n"/>
      <c r="I142" s="62" t="n"/>
    </row>
    <row r="143" ht="14" customHeight="1" s="304">
      <c r="B143" s="62" t="n"/>
      <c r="C143" s="498" t="n"/>
      <c r="D143" s="498" t="n"/>
      <c r="E143" s="62" t="n"/>
      <c r="F143" s="62" t="n"/>
      <c r="G143" s="506" t="n"/>
      <c r="H143" s="62" t="n"/>
      <c r="I143" s="62" t="n"/>
    </row>
    <row r="144" ht="14" customHeight="1" s="304">
      <c r="B144" s="62" t="n"/>
      <c r="C144" s="498" t="n"/>
      <c r="D144" s="498" t="n"/>
      <c r="E144" s="62" t="n"/>
      <c r="F144" s="62" t="n"/>
      <c r="G144" s="506" t="n"/>
      <c r="H144" s="62" t="n"/>
      <c r="I144" s="62" t="n"/>
    </row>
    <row r="145" ht="14" customHeight="1" s="304">
      <c r="B145" s="62" t="n"/>
      <c r="C145" s="498" t="n"/>
      <c r="D145" s="498" t="n"/>
      <c r="E145" s="62" t="n"/>
      <c r="F145" s="62" t="n"/>
      <c r="G145" s="506" t="n"/>
      <c r="H145" s="62" t="n"/>
      <c r="I145" s="62" t="n"/>
    </row>
    <row r="146" ht="14" customHeight="1" s="304">
      <c r="B146" s="62" t="n"/>
      <c r="C146" s="498" t="n"/>
      <c r="D146" s="498" t="n"/>
      <c r="E146" s="62" t="n"/>
      <c r="F146" s="62" t="n"/>
      <c r="G146" s="506" t="n"/>
      <c r="H146" s="62" t="n"/>
      <c r="I146" s="62" t="n"/>
    </row>
    <row r="147" ht="14" customHeight="1" s="304">
      <c r="B147" s="62" t="n"/>
      <c r="C147" s="498" t="n"/>
      <c r="D147" s="498" t="n"/>
      <c r="E147" s="62" t="n"/>
      <c r="F147" s="62" t="n"/>
      <c r="G147" s="506" t="n"/>
      <c r="H147" s="62" t="n"/>
      <c r="I147" s="62" t="n"/>
    </row>
    <row r="148" ht="14" customHeight="1" s="304">
      <c r="B148" s="62" t="n"/>
      <c r="C148" s="498" t="n"/>
      <c r="D148" s="498" t="n"/>
      <c r="E148" s="62" t="n"/>
      <c r="F148" s="62" t="n"/>
      <c r="G148" s="506" t="n"/>
      <c r="H148" s="62" t="n"/>
      <c r="I148" s="62" t="n"/>
    </row>
    <row r="149" ht="14" customHeight="1" s="304">
      <c r="B149" s="62" t="n"/>
      <c r="C149" s="62" t="n"/>
      <c r="D149" s="62" t="n"/>
      <c r="E149" s="62" t="n"/>
      <c r="F149" s="62" t="n"/>
      <c r="G149" s="62" t="n"/>
      <c r="H149" s="62" t="n"/>
      <c r="I149" s="62"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E151" s="62" t="n"/>
      <c r="F151" s="449" t="inlineStr">
        <is>
          <t>Total</t>
        </is>
      </c>
      <c r="G151" s="449" t="inlineStr">
        <is>
          <t>Card/pay</t>
        </is>
      </c>
      <c r="H151" s="62" t="n"/>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ht="14" customHeight="1" s="304">
      <c r="B152" s="62" t="n"/>
      <c r="C152" s="62" t="n"/>
      <c r="D152" s="62" t="n"/>
      <c r="E152" s="62" t="n"/>
      <c r="F152" s="506" t="n"/>
      <c r="G152" s="62" t="n"/>
      <c r="H152" s="62" t="n"/>
      <c r="I152" s="62" t="n"/>
      <c r="J152" s="499" t="n"/>
      <c r="M152" s="499" t="n"/>
      <c r="P152" s="499" t="n"/>
      <c r="S152" s="499" t="n"/>
      <c r="V152" s="499" t="n"/>
      <c r="Y152" s="499" t="n"/>
    </row>
    <row r="153" ht="14" customHeight="1" s="304">
      <c r="B153" s="62" t="n"/>
      <c r="C153" s="62" t="n"/>
      <c r="D153" s="62" t="n"/>
      <c r="E153" s="62" t="n"/>
      <c r="F153" s="506" t="n"/>
      <c r="G153" s="62" t="n"/>
      <c r="H153" s="62" t="n"/>
      <c r="I153" s="62" t="n"/>
      <c r="J153" s="499" t="n"/>
      <c r="M153" s="499" t="n"/>
      <c r="P153" s="499" t="n"/>
      <c r="S153" s="499" t="n"/>
      <c r="V153" s="499" t="n"/>
      <c r="Y153" s="499" t="n"/>
    </row>
    <row r="154" ht="14" customHeight="1" s="304">
      <c r="B154" s="62" t="n"/>
      <c r="C154" s="62" t="n"/>
      <c r="D154" s="62" t="n"/>
      <c r="E154" s="62" t="n"/>
      <c r="F154" s="506" t="n"/>
      <c r="G154" s="62" t="n"/>
      <c r="H154" s="62" t="n"/>
      <c r="I154" s="62" t="n"/>
      <c r="J154" s="499" t="n"/>
      <c r="M154" s="499" t="n"/>
      <c r="P154" s="499" t="n"/>
      <c r="S154" s="499" t="n"/>
      <c r="V154" s="499" t="n"/>
      <c r="Y154" s="499" t="n"/>
    </row>
    <row r="155" ht="14" customHeight="1" s="304">
      <c r="B155" s="62" t="n"/>
      <c r="C155" s="62" t="n"/>
      <c r="D155" s="62" t="n"/>
      <c r="E155" s="62" t="n"/>
      <c r="F155" s="506" t="n"/>
      <c r="G155" s="62" t="n"/>
      <c r="H155" s="62" t="n"/>
      <c r="I155" s="62" t="n"/>
      <c r="J155" s="499" t="n"/>
      <c r="M155" s="499" t="n"/>
      <c r="P155" s="499" t="n"/>
      <c r="S155" s="499" t="n"/>
      <c r="V155" s="499" t="n"/>
      <c r="Y155" s="499" t="n"/>
    </row>
    <row r="156" ht="14" customHeight="1" s="304">
      <c r="B156" s="62" t="n"/>
      <c r="C156" s="62" t="n"/>
      <c r="D156" s="62" t="n"/>
      <c r="E156" s="62" t="n"/>
      <c r="F156" s="506" t="n"/>
      <c r="G156" s="62" t="n"/>
      <c r="H156" s="62" t="n"/>
      <c r="I156" s="62" t="n"/>
      <c r="J156" s="499" t="n"/>
      <c r="M156" s="499" t="n"/>
      <c r="P156" s="499" t="n"/>
      <c r="S156" s="499" t="n"/>
      <c r="V156" s="499" t="n"/>
      <c r="Y156" s="499" t="n"/>
    </row>
    <row r="157" ht="14" customHeight="1" s="304">
      <c r="C157" s="50" t="n"/>
      <c r="D157" s="51" t="n"/>
      <c r="E157" s="51" t="n"/>
      <c r="F157" s="514"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17:I19"/>
    <mergeCell ref="BJ4:BK4"/>
    <mergeCell ref="AP3:AQ3"/>
    <mergeCell ref="BB3:BC3"/>
    <mergeCell ref="B47:I47"/>
    <mergeCell ref="V3:W3"/>
    <mergeCell ref="N4:O4"/>
    <mergeCell ref="B150:I150"/>
    <mergeCell ref="AB4:AC4"/>
    <mergeCell ref="R4:S4"/>
    <mergeCell ref="T4:U4"/>
    <mergeCell ref="AT3:AU3"/>
    <mergeCell ref="BD3:BE3"/>
    <mergeCell ref="BF3:BG3"/>
    <mergeCell ref="L3:M3"/>
    <mergeCell ref="N3:O3"/>
    <mergeCell ref="BP4:BQ4"/>
    <mergeCell ref="BH3:BI3"/>
    <mergeCell ref="BN3:BO3"/>
    <mergeCell ref="V4:W4"/>
    <mergeCell ref="BP3:BQ3"/>
    <mergeCell ref="AH4:AI4"/>
    <mergeCell ref="BR3:BS3"/>
    <mergeCell ref="AN4:AO4"/>
    <mergeCell ref="AV3:AW3"/>
    <mergeCell ref="X3:Y3"/>
    <mergeCell ref="AR4:AS4"/>
    <mergeCell ref="I22:I27"/>
    <mergeCell ref="Z3:AA3"/>
    <mergeCell ref="AZ4:BA4"/>
    <mergeCell ref="AT4:AU4"/>
    <mergeCell ref="AV4:AW4"/>
    <mergeCell ref="BB4:BC4"/>
    <mergeCell ref="J4:K4"/>
    <mergeCell ref="BD4:BE4"/>
    <mergeCell ref="L4:M4"/>
    <mergeCell ref="AJ3:AK3"/>
    <mergeCell ref="BF4:BG4"/>
    <mergeCell ref="BL4:BM4"/>
    <mergeCell ref="AL3:AM3"/>
    <mergeCell ref="BN4:BO4"/>
    <mergeCell ref="AF4:AG4"/>
    <mergeCell ref="F26:G39"/>
    <mergeCell ref="R3:S3"/>
    <mergeCell ref="I6:I16"/>
    <mergeCell ref="X4:Y4"/>
    <mergeCell ref="J3:K3"/>
    <mergeCell ref="BR4:BS4"/>
    <mergeCell ref="Z4:AA4"/>
    <mergeCell ref="BJ3:BK3"/>
    <mergeCell ref="AL4:AM4"/>
    <mergeCell ref="AX3:AY3"/>
    <mergeCell ref="BL3:BM3"/>
    <mergeCell ref="AZ3:BA3"/>
    <mergeCell ref="AJ4:AK4"/>
    <mergeCell ref="P3:Q3"/>
    <mergeCell ref="F18:G19"/>
    <mergeCell ref="AR3:AS3"/>
    <mergeCell ref="T3:U3"/>
    <mergeCell ref="AD4:AE4"/>
    <mergeCell ref="AP4:AQ4"/>
    <mergeCell ref="AB3:AC3"/>
    <mergeCell ref="I30:I31"/>
  </mergeCells>
  <conditionalFormatting sqref="A128:A156 J128:XFD156">
    <cfRule type="cellIs" priority="106" operator="equal" dxfId="0" stopIfTrue="1">
      <formula>"Sun"</formula>
    </cfRule>
    <cfRule type="cellIs" priority="105" operator="equal" dxfId="5" stopIfTrue="1">
      <formula>"Sat"</formula>
    </cfRule>
  </conditionalFormatting>
  <conditionalFormatting sqref="A1:H2 A3:I4 A5:A44 A45:XFD45 A46:A116 A119:A126 B5:H5 B35:E44 E19:E34 F6:G14 F17:G17 F20:G21 F22 F25:F26 F40:G44 F57:XFD57 G52:XFD56 H6:H44 I2 I5:I6 I9 I42:I44 J5:BS16 J58:XFD116 J119:XFD126 BT1:IV44">
    <cfRule type="cellIs" priority="726" operator="equal" dxfId="0" stopIfTrue="1">
      <formula>"Sun"</formula>
    </cfRule>
  </conditionalFormatting>
  <conditionalFormatting sqref="A1:H2 A3:I4 A5:A44 A45:XFD45 A46:A116 A119:A126 B5:H5 B35:E44 E19:E34 F6:G14 F17:G17 F20:G21 F22 F25:F26 F40:G44 F57:XFD57 G52:XFD56 H6:H44 I2 I5:I6 I9 J5:BS16 J58:XFD116 J119:XFD126 BT1:IV44">
    <cfRule type="cellIs" priority="725" operator="equal" dxfId="5" stopIfTrue="1">
      <formula>"Sat"</formula>
    </cfRule>
  </conditionalFormatting>
  <conditionalFormatting sqref="A157:XFD65566">
    <cfRule type="cellIs" priority="90" operator="equal" dxfId="0" stopIfTrue="1">
      <formula>"Sun"</formula>
    </cfRule>
    <cfRule type="cellIs" priority="89" operator="equal" dxfId="5" stopIfTrue="1">
      <formula>"Sat"</formula>
    </cfRule>
  </conditionalFormatting>
  <conditionalFormatting sqref="B18:B34">
    <cfRule type="cellIs" priority="490" operator="equal" dxfId="0" stopIfTrue="1">
      <formula>"Sun"</formula>
    </cfRule>
    <cfRule type="cellIs" priority="489" operator="equal" dxfId="5" stopIfTrue="1">
      <formula>"Sat"</formula>
    </cfRule>
  </conditionalFormatting>
  <conditionalFormatting sqref="B6:E17">
    <cfRule type="cellIs" priority="576" operator="equal" dxfId="0" stopIfTrue="1">
      <formula>"Sun"</formula>
    </cfRule>
    <cfRule type="cellIs" priority="575" operator="equal" dxfId="5" stopIfTrue="1">
      <formula>"Sat"</formula>
    </cfRule>
  </conditionalFormatting>
  <conditionalFormatting sqref="B46:XFD47 F48:XFD51">
    <cfRule type="cellIs" priority="519" operator="equal" dxfId="5" stopIfTrue="1">
      <formula>"Sat"</formula>
    </cfRule>
    <cfRule type="cellIs" priority="520" operator="equal" dxfId="0" stopIfTrue="1">
      <formula>"Sun"</formula>
    </cfRule>
  </conditionalFormatting>
  <conditionalFormatting sqref="C26:C27">
    <cfRule type="cellIs" priority="21" operator="equal" dxfId="5" stopIfTrue="1">
      <formula>"Sat"</formula>
    </cfRule>
    <cfRule type="cellIs" priority="22" operator="equal" dxfId="0" stopIfTrue="1">
      <formula>"Sun"</formula>
    </cfRule>
  </conditionalFormatting>
  <conditionalFormatting sqref="C29:C30">
    <cfRule type="cellIs" priority="19" operator="equal" dxfId="5" stopIfTrue="1">
      <formula>"Sat"</formula>
    </cfRule>
    <cfRule type="cellIs" priority="20" operator="equal" dxfId="0" stopIfTrue="1">
      <formula>"Sun"</formula>
    </cfRule>
  </conditionalFormatting>
  <conditionalFormatting sqref="C19:D19">
    <cfRule type="cellIs" priority="41" operator="equal" dxfId="5" stopIfTrue="1">
      <formula>"Sat"</formula>
    </cfRule>
    <cfRule type="cellIs" priority="42" operator="equal" dxfId="0" stopIfTrue="1">
      <formula>"Sun"</formula>
    </cfRule>
  </conditionalFormatting>
  <conditionalFormatting sqref="C21:D22">
    <cfRule type="cellIs" priority="17" operator="equal" dxfId="5" stopIfTrue="1">
      <formula>"Sat"</formula>
    </cfRule>
    <cfRule type="cellIs" priority="18"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31:D34">
    <cfRule type="cellIs" priority="146" operator="equal" dxfId="0" stopIfTrue="1">
      <formula>"Sun"</formula>
    </cfRule>
    <cfRule type="cellIs" priority="145" operator="equal" dxfId="5" stopIfTrue="1">
      <formula>"Sat"</formula>
    </cfRule>
  </conditionalFormatting>
  <conditionalFormatting sqref="C18:F18">
    <cfRule type="cellIs" priority="23" operator="equal" dxfId="5" stopIfTrue="1">
      <formula>"Sat"</formula>
    </cfRule>
    <cfRule type="cellIs" priority="24" operator="equal" dxfId="0" stopIfTrue="1">
      <formula>"Sun"</formula>
    </cfRule>
  </conditionalFormatting>
  <conditionalFormatting sqref="D26:D28">
    <cfRule type="cellIs" priority="366" operator="equal" dxfId="0" stopIfTrue="1">
      <formula>"Sun"</formula>
    </cfRule>
    <cfRule type="cellIs" priority="365" operator="equal" dxfId="5" stopIfTrue="1">
      <formula>"Sat"</formula>
    </cfRule>
  </conditionalFormatting>
  <conditionalFormatting sqref="I20:I37">
    <cfRule type="cellIs" priority="667" operator="equal" dxfId="5" stopIfTrue="1">
      <formula>"Sat"</formula>
    </cfRule>
    <cfRule type="cellIs" priority="668" operator="equal" dxfId="0" stopIfTrue="1">
      <formula>"Sun"</formula>
    </cfRule>
  </conditionalFormatting>
  <conditionalFormatting sqref="I17:BS17">
    <cfRule type="cellIs" priority="177" operator="equal" dxfId="5" stopIfTrue="1">
      <formula>"Sat"</formula>
    </cfRule>
    <cfRule type="cellIs" priority="178" operator="equal" dxfId="0" stopIfTrue="1">
      <formula>"Sun"</formula>
    </cfRule>
  </conditionalFormatting>
  <conditionalFormatting sqref="I42:BS44">
    <cfRule type="cellIs" priority="191" operator="equal" dxfId="5" stopIfTrue="1">
      <formula>"Sat"</formula>
    </cfRule>
  </conditionalFormatting>
  <conditionalFormatting sqref="J39:J40">
    <cfRule type="cellIs" priority="34" operator="equal" dxfId="0" stopIfTrue="1">
      <formula>"Sun"</formula>
    </cfRule>
  </conditionalFormatting>
  <conditionalFormatting sqref="J22:AO26">
    <cfRule type="cellIs" priority="4" operator="equal" dxfId="0" stopIfTrue="1">
      <formula>"Sun"</formula>
    </cfRule>
    <cfRule type="cellIs" priority="3" operator="equal" dxfId="5" stopIfTrue="1">
      <formula>"Sat"</formula>
    </cfRule>
  </conditionalFormatting>
  <conditionalFormatting sqref="J37:BQ37 J38:BS38">
    <cfRule type="cellIs" priority="180" operator="equal" dxfId="0" stopIfTrue="1">
      <formula>"Sun"</formula>
    </cfRule>
  </conditionalFormatting>
  <conditionalFormatting sqref="J27:BR36">
    <cfRule type="cellIs" priority="6" operator="equal" dxfId="0" stopIfTrue="1">
      <formula>"Sun"</formula>
    </cfRule>
    <cfRule type="cellIs" priority="5" operator="equal" dxfId="5" stopIfTrue="1">
      <formula>"Sat"</formula>
    </cfRule>
  </conditionalFormatting>
  <conditionalFormatting sqref="J18:BS21">
    <cfRule type="cellIs" priority="219" operator="equal" dxfId="5" stopIfTrue="1">
      <formula>"Sat"</formula>
    </cfRule>
    <cfRule type="cellIs" priority="220" operator="equal" dxfId="0" stopIfTrue="1">
      <formula>"Sun"</formula>
    </cfRule>
  </conditionalFormatting>
  <conditionalFormatting sqref="J37:BQ37 J38:BS41">
    <cfRule type="cellIs" priority="179" operator="equal" dxfId="5" stopIfTrue="1">
      <formula>"Sat"</formula>
    </cfRule>
  </conditionalFormatting>
  <conditionalFormatting sqref="J39:BS44">
    <cfRule type="cellIs" priority="192" operator="equal" dxfId="0" stopIfTrue="1">
      <formula>"Sun"</formula>
    </cfRule>
  </conditionalFormatting>
  <conditionalFormatting sqref="Z37:AA37">
    <cfRule type="cellIs" priority="32" operator="equal" dxfId="5" stopIfTrue="1">
      <formula>"Sat"</formula>
    </cfRule>
    <cfRule type="cellIs" priority="33" operator="equal" dxfId="0" stopIfTrue="1">
      <formula>"Sun"</formula>
    </cfRule>
  </conditionalFormatting>
  <conditionalFormatting sqref="Z39:AA39">
    <cfRule type="cellIs" priority="29" operator="equal" dxfId="0" stopIfTrue="1">
      <formula>"Sun"</formula>
    </cfRule>
  </conditionalFormatting>
  <conditionalFormatting sqref="AP23:BR26">
    <cfRule type="cellIs" priority="8" operator="equal" dxfId="0" stopIfTrue="1">
      <formula>"Sun"</formula>
    </cfRule>
    <cfRule type="cellIs" priority="7" operator="equal" dxfId="5" stopIfTrue="1">
      <formula>"Sat"</formula>
    </cfRule>
  </conditionalFormatting>
  <conditionalFormatting sqref="AP22:BS22">
    <cfRule type="cellIs" priority="187" operator="equal" dxfId="5" stopIfTrue="1">
      <formula>"Sat"</formula>
    </cfRule>
    <cfRule type="cellIs" priority="188" operator="equal" dxfId="0" stopIfTrue="1">
      <formula>"Sun"</formula>
    </cfRule>
  </conditionalFormatting>
  <conditionalFormatting sqref="BR37:BS37">
    <cfRule type="cellIs" priority="12" operator="equal" dxfId="0" stopIfTrue="1">
      <formula>"Sun"</formula>
    </cfRule>
    <cfRule type="cellIs" priority="11" operator="equal" dxfId="5" stopIfTrue="1">
      <formula>"Sat"</formula>
    </cfRule>
  </conditionalFormatting>
  <conditionalFormatting sqref="BS23:BS36">
    <cfRule type="cellIs" priority="2" operator="equal" dxfId="0" stopIfTrue="1">
      <formula>"Sun"</formula>
    </cfRule>
    <cfRule type="cellIs" priority="1" operator="equal" dxfId="5" stopIfTrue="1">
      <formula>"Sat"</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9.xml><?xml version="1.0" encoding="utf-8"?>
<worksheet xmlns="http://schemas.openxmlformats.org/spreadsheetml/2006/main">
  <sheetPr>
    <tabColor indexed="17"/>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BD20" sqref="BD20"/>
    </sheetView>
  </sheetViews>
  <sheetFormatPr baseColWidth="8" defaultColWidth="8.90625" defaultRowHeight="13.5"/>
  <cols>
    <col width="1.08984375" customWidth="1" style="1" min="1" max="1"/>
    <col width="27" bestFit="1" customWidth="1" style="1" min="2" max="2"/>
    <col width="12.7265625" bestFit="1" customWidth="1" style="55" min="3" max="3"/>
    <col width="14" bestFit="1" customWidth="1" style="55" min="4" max="4"/>
    <col width="1.6328125" customWidth="1" style="55" min="5" max="5"/>
    <col width="29" customWidth="1" style="55" min="6" max="6"/>
    <col width="7.36328125" customWidth="1" style="55" min="7" max="7"/>
    <col width="1.6328125" customWidth="1" style="55" min="8" max="8"/>
    <col width="25" customWidth="1" style="55"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5.90625" bestFit="1" customWidth="1" style="1" min="22" max="22"/>
    <col width="12.6328125" bestFit="1" customWidth="1" style="1" min="23" max="23"/>
    <col width="8.90625" bestFit="1"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4"/>
    <col width="11" bestFit="1" customWidth="1" style="1" min="35" max="35"/>
    <col width="8.90625" customWidth="1" style="1" min="36" max="48"/>
    <col width="11.6328125" bestFit="1" customWidth="1" style="1" min="49" max="49"/>
    <col width="8.90625" customWidth="1" style="1" min="50" max="50"/>
    <col width="11" bestFit="1" customWidth="1" style="1" min="51" max="51"/>
    <col width="8.90625" customWidth="1" style="1" min="52" max="54"/>
    <col width="10" bestFit="1" customWidth="1" style="1" min="55" max="55"/>
    <col width="8.90625" customWidth="1" style="1" min="56" max="60"/>
    <col width="11" bestFit="1" customWidth="1" style="1" min="61" max="61"/>
    <col width="8.90625" customWidth="1" style="1" min="62" max="63"/>
    <col width="12.08984375" bestFit="1" customWidth="1" style="1" min="64" max="64"/>
    <col width="9.36328125" bestFit="1" customWidth="1" style="1" min="65" max="65"/>
    <col width="8.90625" customWidth="1" style="1" min="66" max="66"/>
    <col width="10" bestFit="1" customWidth="1" style="1" min="67" max="67"/>
    <col width="8.90625" customWidth="1" style="1" min="68" max="68"/>
    <col width="10"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196">
        <f>IF(B1="","",DATE(YEAR(B1),MONTH(B1)+1,DAY(B1)-1))</f>
        <v/>
      </c>
      <c r="D1" s="196" t="n"/>
    </row>
    <row r="2" ht="25.5" customHeight="1" s="304" thickBot="1">
      <c r="B2" s="88">
        <f>IF('Annual Summary'!F5="","",'Annual Summary'!F5)</f>
        <v/>
      </c>
      <c r="C2" s="197" t="inlineStr">
        <is>
          <t>/</t>
        </is>
      </c>
      <c r="D2" s="198" t="n">
        <v>8</v>
      </c>
      <c r="E2" s="199" t="inlineStr">
        <is>
          <t>Monthly Household Income &amp; Expenses</t>
        </is>
      </c>
      <c r="F2" s="197" t="n"/>
      <c r="I2" s="200"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197" t="n"/>
      <c r="D3" s="201" t="n"/>
      <c r="E3" s="199" t="n"/>
      <c r="F3" s="197" t="n"/>
      <c r="I3" s="202"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197" t="n"/>
      <c r="D4" s="201" t="n"/>
      <c r="E4" s="199" t="n"/>
      <c r="F4" s="203" t="inlineStr">
        <is>
          <t>Back to Annual Summary</t>
        </is>
      </c>
      <c r="I4" s="204"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205"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206"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RMB</t>
        </is>
      </c>
      <c r="C7" s="207" t="inlineStr">
        <is>
          <t>Amount</t>
        </is>
      </c>
      <c r="D7" s="208" t="inlineStr">
        <is>
          <t>Date Received</t>
        </is>
      </c>
      <c r="F7" s="209" t="inlineStr">
        <is>
          <t>Item</t>
        </is>
      </c>
      <c r="G7" s="210"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515" t="n"/>
      <c r="D8" s="516" t="n"/>
      <c r="E8" s="422" t="n"/>
      <c r="F8" s="423" t="inlineStr">
        <is>
          <t>Food (Meals)</t>
        </is>
      </c>
      <c r="G8" s="424">
        <f>SUM(J21:BS21)</f>
        <v/>
      </c>
      <c r="H8" s="216" t="n"/>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15" t="n"/>
      <c r="D9" s="517" t="n"/>
      <c r="E9" s="422" t="n"/>
      <c r="F9" s="423" t="inlineStr">
        <is>
          <t>Household Goods Total</t>
        </is>
      </c>
      <c r="G9" s="424">
        <f>SUM(J22:BS27)</f>
        <v/>
      </c>
      <c r="H9" s="216" t="n"/>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18" t="n"/>
      <c r="D10" s="517" t="n"/>
      <c r="E10" s="422" t="n"/>
      <c r="F10" s="423" t="inlineStr">
        <is>
          <t>Education &amp; Enrichment</t>
        </is>
      </c>
      <c r="G10" s="424">
        <f>SUM(J28:BS28)</f>
        <v/>
      </c>
      <c r="H10" s="216" t="n"/>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426" t="n"/>
      <c r="C11" s="519" t="n"/>
      <c r="D11" s="520" t="n"/>
      <c r="E11" s="422" t="n"/>
      <c r="F11" s="428" t="inlineStr">
        <is>
          <t>All Other Items Total</t>
        </is>
      </c>
      <c r="G11" s="424">
        <f>SUM(J30:BS41)</f>
        <v/>
      </c>
      <c r="H11" s="216" t="n"/>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222">
        <f>SUM(C8:C11)</f>
        <v/>
      </c>
      <c r="D12" s="429" t="n"/>
      <c r="E12" s="422" t="n"/>
      <c r="F12" s="430" t="inlineStr">
        <is>
          <t>Total Living Expenses</t>
        </is>
      </c>
      <c r="G12" s="431">
        <f>SUM(G8:G11)+SUM(J29:BS29)</f>
        <v/>
      </c>
      <c r="H12" s="216" t="n"/>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C13" s="216" t="n"/>
      <c r="D13" s="216" t="n"/>
      <c r="E13" s="216" t="n"/>
      <c r="F13" s="216" t="n"/>
      <c r="G13" s="216" t="n"/>
      <c r="H13" s="216"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C14" s="216" t="n"/>
      <c r="D14" s="216" t="n"/>
      <c r="E14" s="216" t="n"/>
      <c r="F14" s="216" t="n"/>
      <c r="G14" s="216" t="n"/>
      <c r="H14" s="216"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C15" s="216" t="n"/>
      <c r="D15" s="216" t="n"/>
      <c r="E15" s="216" t="n"/>
      <c r="F15" s="216" t="n"/>
      <c r="G15" s="216" t="n"/>
      <c r="H15" s="216" t="n"/>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C16" s="216" t="n"/>
      <c r="D16" s="216" t="n"/>
      <c r="E16" s="216" t="n"/>
      <c r="F16" s="216" t="n"/>
      <c r="G16" s="216" t="n"/>
      <c r="H16" s="216" t="n"/>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226" t="inlineStr">
        <is>
          <t>Amount</t>
        </is>
      </c>
      <c r="D17" s="227" t="inlineStr">
        <is>
          <t>Date Paid</t>
        </is>
      </c>
      <c r="E17" s="216" t="n"/>
      <c r="F17" s="228" t="inlineStr">
        <is>
          <t>Balance This Month</t>
        </is>
      </c>
      <c r="G17" s="216" t="n"/>
      <c r="H17" s="216" t="n"/>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E18" s="216" t="n"/>
      <c r="F18" s="333">
        <f>C12-C39-G12+SUM(J43:BS43)</f>
        <v/>
      </c>
      <c r="G18" s="321" t="n"/>
      <c r="H18" s="216"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E19" s="216" t="n"/>
      <c r="F19" s="322" t="n"/>
      <c r="G19" s="323" t="n"/>
      <c r="H19" s="216"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E20" s="216" t="n"/>
      <c r="F20" s="216" t="n"/>
      <c r="G20" s="216" t="n"/>
      <c r="H20" s="216" t="n"/>
      <c r="I20" s="122"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E21" s="216" t="n"/>
      <c r="F21" s="228" t="inlineStr">
        <is>
          <t>Cumulative Balance</t>
        </is>
      </c>
      <c r="G21" s="216" t="n"/>
      <c r="H21" s="216" t="n"/>
      <c r="I21" s="229"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E22" s="216" t="n"/>
      <c r="F22" s="333">
        <f>F18+Jul!F22</f>
        <v/>
      </c>
      <c r="G22" s="321" t="n"/>
      <c r="H22" s="216"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E23" s="216" t="n"/>
      <c r="F23" s="322" t="n"/>
      <c r="G23" s="323" t="n"/>
      <c r="H23" s="216"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E24" s="216" t="n"/>
      <c r="F24" s="230" t="n"/>
      <c r="G24" s="230" t="n"/>
      <c r="H24" s="216"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E25" s="216" t="n"/>
      <c r="F25" s="228" t="inlineStr">
        <is>
          <t>Notes This Month</t>
        </is>
      </c>
      <c r="G25" s="230" t="n"/>
      <c r="H25" s="216"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E26" s="216" t="n"/>
      <c r="F26" s="334" t="n"/>
      <c r="G26" s="327" t="n"/>
      <c r="H26" s="216"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E27" s="216" t="n"/>
      <c r="F27" s="328" t="n"/>
      <c r="G27" s="329" t="n"/>
      <c r="H27" s="216"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E28" s="216" t="n"/>
      <c r="F28" s="328" t="n"/>
      <c r="G28" s="329" t="n"/>
      <c r="H28" s="216" t="n"/>
      <c r="I28" s="231"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E29" s="216" t="n"/>
      <c r="F29" s="328" t="n"/>
      <c r="G29" s="329" t="n"/>
      <c r="H29" s="216" t="n"/>
      <c r="I29" s="232" t="inlineStr">
        <is>
          <t>Fuel</t>
        </is>
      </c>
      <c r="J29" s="369" t="n"/>
      <c r="K29" s="479" t="n"/>
      <c r="L29" s="371" t="n"/>
      <c r="M29" s="479" t="n"/>
      <c r="N29" s="371" t="n"/>
      <c r="O29" s="479" t="n"/>
      <c r="P29" s="37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E30" s="216" t="n"/>
      <c r="F30" s="328" t="n"/>
      <c r="G30" s="329" t="n"/>
      <c r="H30" s="216"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1" t="n"/>
      <c r="BQ30" s="479" t="n"/>
      <c r="BR30" s="371" t="n"/>
      <c r="BS30" s="480" t="n"/>
    </row>
    <row r="31" ht="17.25" customFormat="1" customHeight="1" s="4">
      <c r="B31" s="153" t="inlineStr">
        <is>
          <t>Housing Management Fee</t>
        </is>
      </c>
      <c r="C31" s="479" t="n"/>
      <c r="D31" s="490" t="n"/>
      <c r="E31" s="216" t="n"/>
      <c r="F31" s="328" t="n"/>
      <c r="G31" s="329" t="n"/>
      <c r="H31" s="216"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E32" s="216" t="n"/>
      <c r="F32" s="328" t="n"/>
      <c r="G32" s="329" t="n"/>
      <c r="H32" s="216" t="n"/>
      <c r="I32" s="311"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521" t="n"/>
      <c r="D33" s="522" t="n"/>
      <c r="E33" s="216" t="n"/>
      <c r="F33" s="328" t="n"/>
      <c r="G33" s="329" t="n"/>
      <c r="H33" s="216" t="n"/>
      <c r="I33" s="234"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521" t="n"/>
      <c r="D34" s="522" t="n"/>
      <c r="E34" s="216" t="n"/>
      <c r="F34" s="328" t="n"/>
      <c r="G34" s="329" t="n"/>
      <c r="H34" s="216" t="n"/>
      <c r="I34" s="324"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523" t="n"/>
      <c r="D35" s="233" t="n"/>
      <c r="E35" s="216" t="n"/>
      <c r="F35" s="328" t="n"/>
      <c r="G35" s="329" t="n"/>
      <c r="H35" s="216" t="n"/>
      <c r="I35" s="324"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2"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523" t="n"/>
      <c r="D36" s="233" t="n"/>
      <c r="E36" s="216" t="n"/>
      <c r="F36" s="328" t="n"/>
      <c r="G36" s="329" t="n"/>
      <c r="H36" s="216" t="n"/>
      <c r="I36" s="324"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523" t="n"/>
      <c r="D37" s="233" t="n"/>
      <c r="E37" s="216" t="n"/>
      <c r="F37" s="328" t="n"/>
      <c r="G37" s="329" t="n"/>
      <c r="H37" s="216" t="n"/>
      <c r="I37" s="122" t="inlineStr">
        <is>
          <t>Other</t>
        </is>
      </c>
      <c r="J37" s="393"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523" t="n"/>
      <c r="D38" s="233" t="n"/>
      <c r="E38" s="216" t="n"/>
      <c r="F38" s="328" t="n"/>
      <c r="G38" s="329" t="n"/>
      <c r="H38" s="216" t="n"/>
      <c r="I38" s="122"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1"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524">
        <f>SUM(C18:C38)</f>
        <v/>
      </c>
      <c r="D39" s="236" t="n"/>
      <c r="E39" s="216" t="n"/>
      <c r="F39" s="330" t="n"/>
      <c r="G39" s="331" t="n"/>
      <c r="H39" s="216" t="n"/>
      <c r="I39" s="122"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96" t="n"/>
      <c r="AW39" s="494"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C40" s="216" t="n"/>
      <c r="D40" s="216" t="n"/>
      <c r="E40" s="216" t="n"/>
      <c r="F40" s="216" t="n"/>
      <c r="G40" s="216" t="n"/>
      <c r="H40" s="216" t="n"/>
      <c r="I40" s="122"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B41" s="182" t="n"/>
      <c r="C41" s="237" t="n"/>
      <c r="D41" s="237" t="n"/>
      <c r="E41" s="238" t="n"/>
      <c r="F41" s="238" t="n"/>
      <c r="G41" s="216" t="n"/>
      <c r="H41" s="216" t="n"/>
      <c r="I41" s="122"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B42" s="182" t="n"/>
      <c r="C42" s="237" t="n"/>
      <c r="D42" s="237" t="n"/>
      <c r="E42" s="238" t="n"/>
      <c r="F42" s="238" t="n"/>
      <c r="G42" s="216" t="n"/>
      <c r="H42" s="216" t="n"/>
      <c r="I42" s="229"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B43" s="182" t="n"/>
      <c r="C43" s="237" t="n"/>
      <c r="D43" s="237" t="n"/>
      <c r="E43" s="238" t="n"/>
      <c r="F43" s="238" t="n"/>
      <c r="G43" s="216" t="n"/>
      <c r="H43" s="216" t="n"/>
      <c r="I43" s="122"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B44" s="182" t="n"/>
      <c r="C44" s="237" t="n"/>
      <c r="D44" s="237" t="n"/>
      <c r="E44" s="238" t="n"/>
      <c r="F44" s="238" t="n"/>
      <c r="G44" s="216" t="n"/>
      <c r="H44" s="216" t="n"/>
      <c r="I44" s="239"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C45" s="237" t="n"/>
      <c r="D45" s="237" t="n"/>
    </row>
    <row r="46" ht="14" customHeight="1" s="304">
      <c r="C46" s="237" t="n"/>
      <c r="D46" s="237" t="n"/>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49"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513" t="n"/>
      <c r="E49" s="45" t="n"/>
      <c r="G49" s="499" t="n"/>
    </row>
    <row r="50" ht="14" customHeight="1" s="304">
      <c r="B50" s="45" t="n"/>
      <c r="C50" s="500" t="n"/>
      <c r="D50" s="498" t="n"/>
      <c r="E50" s="45" t="n"/>
      <c r="F50" s="237" t="n"/>
      <c r="G50" s="499" t="n"/>
    </row>
    <row r="51" ht="14" customHeight="1" s="304">
      <c r="B51" s="45" t="n"/>
      <c r="C51" s="500" t="n"/>
      <c r="D51" s="498" t="n"/>
      <c r="E51" s="45" t="n"/>
      <c r="F51" s="237" t="n"/>
      <c r="G51" s="499" t="n"/>
    </row>
    <row r="52" ht="14" customHeight="1" s="304">
      <c r="B52" s="45" t="n"/>
      <c r="C52" s="500" t="n"/>
      <c r="D52" s="498" t="n"/>
      <c r="E52" s="45" t="n"/>
      <c r="F52" s="240" t="n"/>
      <c r="G52" s="499" t="n"/>
    </row>
    <row r="53" ht="14" customHeight="1" s="304">
      <c r="B53" s="45" t="n"/>
      <c r="C53" s="500" t="n"/>
      <c r="D53" s="498" t="n"/>
      <c r="E53" s="45" t="n"/>
      <c r="F53" s="240" t="n"/>
      <c r="G53" s="499" t="n"/>
    </row>
    <row r="54" ht="14" customHeight="1" s="304">
      <c r="B54" s="45" t="n"/>
      <c r="C54" s="500" t="n"/>
      <c r="D54" s="498" t="n"/>
      <c r="E54" s="45" t="n"/>
      <c r="F54" s="240" t="n"/>
      <c r="G54" s="499" t="n"/>
    </row>
    <row r="55" ht="14" customHeight="1" s="304">
      <c r="B55" s="45" t="n"/>
      <c r="C55" s="500" t="n"/>
      <c r="D55" s="498" t="n"/>
      <c r="E55" s="45" t="n"/>
      <c r="F55" s="240" t="n"/>
      <c r="G55" s="499" t="n"/>
    </row>
    <row r="56" ht="14" customHeight="1" s="304">
      <c r="B56" s="45" t="n"/>
      <c r="C56" s="500" t="n"/>
      <c r="D56" s="498" t="n"/>
      <c r="E56" s="45" t="n"/>
      <c r="F56" s="240" t="n"/>
      <c r="G56" s="499" t="n"/>
    </row>
    <row r="57" ht="14" customHeight="1" s="304">
      <c r="B57" s="45" t="n"/>
      <c r="C57" s="500" t="n"/>
      <c r="D57" s="498" t="n"/>
      <c r="E57" s="45" t="n"/>
      <c r="F57" s="237" t="n"/>
      <c r="G57" s="499" t="n"/>
    </row>
    <row r="58" ht="14" customHeight="1" s="304">
      <c r="B58" s="45" t="n"/>
      <c r="C58" s="500" t="n"/>
      <c r="D58" s="498" t="n"/>
      <c r="E58" s="45" t="n"/>
      <c r="F58" s="237" t="n"/>
      <c r="G58" s="499" t="n"/>
    </row>
    <row r="59" ht="14" customHeight="1" s="304">
      <c r="B59" s="62" t="n"/>
      <c r="C59" s="498" t="n"/>
      <c r="D59" s="513" t="n"/>
      <c r="E59" s="62" t="n"/>
      <c r="F59" s="237" t="n"/>
      <c r="G59" s="499" t="n"/>
    </row>
    <row r="60" ht="14" customHeight="1" s="304">
      <c r="C60" s="525" t="n"/>
      <c r="D60" s="525" t="n"/>
      <c r="F60" s="237" t="n"/>
      <c r="G60" s="499" t="n"/>
    </row>
    <row r="61" ht="14" customHeight="1" s="304">
      <c r="C61" s="525" t="n"/>
      <c r="D61" s="525" t="n"/>
      <c r="F61" s="237" t="n"/>
      <c r="G61" s="499" t="n"/>
    </row>
    <row r="62">
      <c r="C62" s="502" t="n"/>
      <c r="D62" s="502" t="n"/>
      <c r="G62" s="499" t="n"/>
    </row>
    <row r="63">
      <c r="C63" s="502" t="n"/>
      <c r="D63" s="502" t="n"/>
      <c r="G63" s="499" t="n"/>
    </row>
    <row r="64">
      <c r="C64" s="502" t="n"/>
      <c r="D64" s="502" t="n"/>
      <c r="G64" s="499" t="n"/>
    </row>
    <row r="65">
      <c r="C65" s="502" t="n"/>
      <c r="D65" s="502" t="n"/>
      <c r="G65" s="499" t="n"/>
    </row>
    <row r="66">
      <c r="C66" s="502" t="n"/>
      <c r="D66" s="502" t="n"/>
      <c r="G66" s="499" t="n"/>
    </row>
    <row r="67">
      <c r="C67" s="502" t="n"/>
      <c r="D67" s="502" t="n"/>
      <c r="G67" s="499" t="n"/>
    </row>
    <row r="68">
      <c r="C68" s="502" t="n"/>
      <c r="D68" s="502" t="n"/>
      <c r="G68" s="499" t="n"/>
    </row>
    <row r="69">
      <c r="C69" s="502" t="n"/>
      <c r="D69" s="502" t="n"/>
      <c r="G69" s="499" t="n"/>
    </row>
    <row r="70">
      <c r="C70" s="502" t="n"/>
      <c r="D70" s="502" t="n"/>
      <c r="G70" s="499" t="n"/>
    </row>
    <row r="71">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c r="C76" s="502"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61 A62:XFD65468 B5:H5 B35:E40 E19:E21 E23:E34 F6:G14 F17:G17 F20:G21 F25:F26 F40:G40 F46:BQ51 F57:XFD61 G41:G44 G45:BQ45 G52:BQ52 G53:XFD56 H6:H44 I2 I5:I6 I9 J5:BS16">
    <cfRule type="cellIs" priority="785" operator="equal" dxfId="0" stopIfTrue="1">
      <formula>"Sun"</formula>
    </cfRule>
    <cfRule type="cellIs" priority="784" operator="equal" dxfId="5" stopIfTrue="1">
      <formula>"Sat"</formula>
    </cfRule>
  </conditionalFormatting>
  <conditionalFormatting sqref="B18:B32">
    <cfRule type="cellIs" priority="55" operator="equal" dxfId="0" stopIfTrue="1">
      <formula>"Sun"</formula>
    </cfRule>
    <cfRule type="cellIs" priority="54" operator="equal" dxfId="5" stopIfTrue="1">
      <formula>"Sat"</formula>
    </cfRule>
  </conditionalFormatting>
  <conditionalFormatting sqref="B33:D34">
    <cfRule type="cellIs" priority="121" operator="equal" dxfId="0" stopIfTrue="1">
      <formula>"Sun"</formula>
    </cfRule>
    <cfRule type="cellIs" priority="120" operator="equal" dxfId="5" stopIfTrue="1">
      <formula>"Sat"</formula>
    </cfRule>
  </conditionalFormatting>
  <conditionalFormatting sqref="B6:E17">
    <cfRule type="cellIs" priority="782" operator="equal" dxfId="5" stopIfTrue="1">
      <formula>"Sat"</formula>
    </cfRule>
    <cfRule type="cellIs" priority="783" operator="equal" dxfId="0" stopIfTrue="1">
      <formula>"Sun"</formula>
    </cfRule>
  </conditionalFormatting>
  <conditionalFormatting sqref="C27">
    <cfRule type="cellIs" priority="32" operator="equal" dxfId="5" stopIfTrue="1">
      <formula>"Sat"</formula>
    </cfRule>
    <cfRule type="cellIs" priority="33" operator="equal" dxfId="0" stopIfTrue="1">
      <formula>"Sun"</formula>
    </cfRule>
  </conditionalFormatting>
  <conditionalFormatting sqref="C29:C30">
    <cfRule type="cellIs" priority="24" operator="equal" dxfId="5" stopIfTrue="1">
      <formula>"Sat"</formula>
    </cfRule>
    <cfRule type="cellIs" priority="25" operator="equal" dxfId="0" stopIfTrue="1">
      <formula>"Sun"</formula>
    </cfRule>
  </conditionalFormatting>
  <conditionalFormatting sqref="C19:D19">
    <cfRule type="cellIs" priority="44" operator="equal" dxfId="5" stopIfTrue="1">
      <formula>"Sat"</formula>
    </cfRule>
    <cfRule type="cellIs" priority="45" operator="equal" dxfId="0" stopIfTrue="1">
      <formula>"Sun"</formula>
    </cfRule>
  </conditionalFormatting>
  <conditionalFormatting sqref="C21:D21">
    <cfRule type="cellIs" priority="22" operator="equal" dxfId="5" stopIfTrue="1">
      <formula>"Sat"</formula>
    </cfRule>
    <cfRule type="cellIs" priority="23" operator="equal" dxfId="0" stopIfTrue="1">
      <formula>"Sun"</formula>
    </cfRule>
  </conditionalFormatting>
  <conditionalFormatting sqref="C24:D24">
    <cfRule type="cellIs" priority="30" operator="equal" dxfId="5" stopIfTrue="1">
      <formula>"Sat"</formula>
    </cfRule>
    <cfRule type="cellIs" priority="31" operator="equal" dxfId="0" stopIfTrue="1">
      <formula>"Sun"</formula>
    </cfRule>
  </conditionalFormatting>
  <conditionalFormatting sqref="C26:D26">
    <cfRule type="cellIs" priority="46" operator="equal" dxfId="5" stopIfTrue="1">
      <formula>"Sat"</formula>
    </cfRule>
    <cfRule type="cellIs" priority="47" operator="equal" dxfId="0" stopIfTrue="1">
      <formula>"Sun"</formula>
    </cfRule>
  </conditionalFormatting>
  <conditionalFormatting sqref="C31:D32">
    <cfRule type="cellIs" priority="48" operator="equal" dxfId="5" stopIfTrue="1">
      <formula>"Sat"</formula>
    </cfRule>
    <cfRule type="cellIs" priority="49" operator="equal" dxfId="0" stopIfTrue="1">
      <formula>"Sun"</formula>
    </cfRule>
  </conditionalFormatting>
  <conditionalFormatting sqref="C41:E47 C60:E61">
    <cfRule type="cellIs" priority="525" operator="equal" dxfId="0" stopIfTrue="1">
      <formula>"Sun"</formula>
    </cfRule>
    <cfRule type="cellIs" priority="524" operator="equal" dxfId="5" stopIfTrue="1">
      <formula>"Sat"</formula>
    </cfRule>
  </conditionalFormatting>
  <conditionalFormatting sqref="C18:F18">
    <cfRule type="cellIs" priority="26" operator="equal" dxfId="5" stopIfTrue="1">
      <formula>"Sat"</formula>
    </cfRule>
    <cfRule type="cellIs" priority="27" operator="equal" dxfId="0" stopIfTrue="1">
      <formula>"Sun"</formula>
    </cfRule>
  </conditionalFormatting>
  <conditionalFormatting sqref="C22:F22">
    <cfRule type="cellIs" priority="36" operator="equal" dxfId="5" stopIfTrue="1">
      <formula>"Sat"</formula>
    </cfRule>
    <cfRule type="cellIs" priority="37" operator="equal" dxfId="0" stopIfTrue="1">
      <formula>"Sun"</formula>
    </cfRule>
  </conditionalFormatting>
  <conditionalFormatting sqref="D27:D28">
    <cfRule type="cellIs" priority="51" operator="equal" dxfId="0" stopIfTrue="1">
      <formula>"Sun"</formula>
    </cfRule>
    <cfRule type="cellIs" priority="50" operator="equal" dxfId="5" stopIfTrue="1">
      <formula>"Sat"</formula>
    </cfRule>
  </conditionalFormatting>
  <conditionalFormatting sqref="F41:F45">
    <cfRule type="cellIs" priority="580" operator="equal" dxfId="5" stopIfTrue="1">
      <formula>"Sat"</formula>
    </cfRule>
    <cfRule type="cellIs" priority="581" operator="equal" dxfId="0" stopIfTrue="1">
      <formula>"Sun"</formula>
    </cfRule>
  </conditionalFormatting>
  <conditionalFormatting sqref="I20:I37">
    <cfRule type="cellIs" priority="736" operator="equal" dxfId="5" stopIfTrue="1">
      <formula>"Sat"</formula>
    </cfRule>
    <cfRule type="cellIs" priority="737" operator="equal" dxfId="0" stopIfTrue="1">
      <formula>"Sun"</formula>
    </cfRule>
  </conditionalFormatting>
  <conditionalFormatting sqref="I17:BS17">
    <cfRule type="cellIs" priority="152" operator="equal" dxfId="5" stopIfTrue="1">
      <formula>"Sat"</formula>
    </cfRule>
    <cfRule type="cellIs" priority="153" operator="equal" dxfId="0" stopIfTrue="1">
      <formula>"Sun"</formula>
    </cfRule>
  </conditionalFormatting>
  <conditionalFormatting sqref="I42:BS44">
    <cfRule type="cellIs" priority="166" operator="equal" dxfId="5" stopIfTrue="1">
      <formula>"Sat"</formula>
    </cfRule>
    <cfRule type="cellIs" priority="167" operator="equal" dxfId="0" stopIfTrue="1">
      <formula>"Sun"</formula>
    </cfRule>
  </conditionalFormatting>
  <conditionalFormatting sqref="J22:AO26">
    <cfRule type="cellIs" priority="126" operator="equal" dxfId="5" stopIfTrue="1">
      <formula>"Sat"</formula>
    </cfRule>
    <cfRule type="cellIs" priority="127" operator="equal" dxfId="0" stopIfTrue="1">
      <formula>"Sun"</formula>
    </cfRule>
  </conditionalFormatting>
  <conditionalFormatting sqref="J27:BR36">
    <cfRule type="cellIs" priority="2" operator="equal" dxfId="0" stopIfTrue="1">
      <formula>"Sun"</formula>
    </cfRule>
    <cfRule type="cellIs" priority="1" operator="equal" dxfId="5" stopIfTrue="1">
      <formula>"Sat"</formula>
    </cfRule>
  </conditionalFormatting>
  <conditionalFormatting sqref="J18:BS21">
    <cfRule type="cellIs" priority="4" operator="equal" dxfId="0" stopIfTrue="1">
      <formula>"Sun"</formula>
    </cfRule>
    <cfRule type="cellIs" priority="3" operator="equal" dxfId="5" stopIfTrue="1">
      <formula>"Sat"</formula>
    </cfRule>
  </conditionalFormatting>
  <conditionalFormatting sqref="J37:BS41">
    <cfRule type="cellIs" priority="6" operator="equal" dxfId="0" stopIfTrue="1">
      <formula>"Sun"</formula>
    </cfRule>
    <cfRule type="cellIs" priority="5" operator="equal" dxfId="5" stopIfTrue="1">
      <formula>"Sat"</formula>
    </cfRule>
  </conditionalFormatting>
  <conditionalFormatting sqref="AP23:BR26">
    <cfRule type="cellIs" priority="11" operator="equal" dxfId="5" stopIfTrue="1">
      <formula>"Sat"</formula>
    </cfRule>
    <cfRule type="cellIs" priority="12" operator="equal" dxfId="0" stopIfTrue="1">
      <formula>"Sun"</formula>
    </cfRule>
  </conditionalFormatting>
  <conditionalFormatting sqref="AP22:BS22">
    <cfRule type="cellIs" priority="162" operator="equal" dxfId="5" stopIfTrue="1">
      <formula>"Sat"</formula>
    </cfRule>
    <cfRule type="cellIs" priority="163" operator="equal" dxfId="0" stopIfTrue="1">
      <formula>"Sun"</formula>
    </cfRule>
  </conditionalFormatting>
  <conditionalFormatting sqref="BS23:BS36">
    <cfRule type="cellIs" priority="176" operator="equal" dxfId="5" stopIfTrue="1">
      <formula>"Sat"</formula>
    </cfRule>
    <cfRule type="cellIs" priority="177" operator="equal" dxfId="0" stopIfTrue="1">
      <formula>"Sun"</formula>
    </cfRule>
  </conditionalFormatting>
  <conditionalFormatting sqref="BR45:XFD52 BT1:IV44">
    <cfRule type="cellIs" priority="218" operator="equal" dxfId="5" stopIfTrue="1">
      <formula>"Sat"</formula>
    </cfRule>
    <cfRule type="cellIs" priority="219"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0.xml><?xml version="1.0" encoding="utf-8"?>
<worksheet xmlns="http://schemas.openxmlformats.org/spreadsheetml/2006/main">
  <sheetPr>
    <tabColor indexed="56"/>
    <outlinePr summaryBelow="1" summaryRight="1"/>
    <pageSetUpPr/>
  </sheetPr>
  <dimension ref="A1:CG301"/>
  <sheetViews>
    <sheetView showGridLines="0" zoomScale="69" zoomScaleNormal="69"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T20" sqref="T20"/>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3.08984375" bestFit="1" customWidth="1" style="1" min="11" max="11"/>
    <col width="11.36328125" customWidth="1" style="1" min="12" max="12"/>
    <col width="13.08984375" bestFit="1" customWidth="1" style="1" min="13"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3.0898437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4"/>
    <col width="9.90625" bestFit="1" customWidth="1" style="1" min="35" max="35"/>
    <col width="8.90625" customWidth="1" style="1" min="36" max="38"/>
    <col width="11.36328125" bestFit="1" customWidth="1" style="1" min="39" max="39"/>
    <col width="8.90625" customWidth="1" style="1" min="40" max="40"/>
    <col width="12" bestFit="1" customWidth="1" style="1" min="41" max="41"/>
    <col width="8.90625" customWidth="1" style="1" min="42" max="42"/>
    <col width="12.90625" bestFit="1" customWidth="1" style="1" min="43" max="43"/>
    <col width="8.90625" customWidth="1" style="1" min="44" max="44"/>
    <col width="11" bestFit="1" customWidth="1" style="1" min="45" max="45"/>
    <col width="8.90625" customWidth="1" style="1" min="46" max="46"/>
    <col width="11" bestFit="1" customWidth="1" style="1" min="47" max="47"/>
    <col width="8.90625" customWidth="1" style="1" min="48" max="48"/>
    <col width="11.7265625" bestFit="1" customWidth="1" style="1" min="49" max="49"/>
    <col width="8.90625" customWidth="1" style="1" min="50" max="50"/>
    <col width="11" bestFit="1" customWidth="1" style="1" min="51" max="51"/>
    <col width="8.90625" customWidth="1" style="1" min="52" max="52"/>
    <col width="12.90625" bestFit="1" customWidth="1" style="1" min="53" max="53"/>
    <col width="8.90625" customWidth="1" style="1" min="54" max="54"/>
    <col width="12" bestFit="1" customWidth="1" style="1" min="55" max="55"/>
    <col width="8.90625" customWidth="1" style="1" min="56" max="56"/>
    <col width="12.90625" bestFit="1" customWidth="1" style="1" min="57" max="57"/>
    <col width="8.90625" customWidth="1" style="1" min="58" max="58"/>
    <col width="12.90625" bestFit="1" customWidth="1" style="1" min="59" max="59"/>
    <col width="8.90625" customWidth="1" style="1" min="60" max="60"/>
    <col width="12.90625" bestFit="1" customWidth="1" style="1" min="61" max="61"/>
    <col width="8.90625" customWidth="1" style="1" min="62" max="62"/>
    <col width="12.90625" bestFit="1" customWidth="1" style="1" min="63" max="63"/>
    <col width="8.90625" customWidth="1" style="1" min="64" max="64"/>
    <col width="12.90625" bestFit="1" customWidth="1" style="1" min="65" max="65"/>
    <col width="8.90625" customWidth="1" style="1" min="66" max="66"/>
    <col width="11" bestFit="1" customWidth="1" style="1" min="67" max="67"/>
    <col width="8.90625" customWidth="1" style="1" min="68"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9</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F18+Aug!F22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71"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71"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1"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2"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93"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B41" s="195" t="n"/>
      <c r="C41" s="195" t="n"/>
      <c r="D41" s="45" t="n"/>
      <c r="E41" s="182" t="n"/>
      <c r="F41" s="182" t="n"/>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B42" s="195" t="n"/>
      <c r="C42" s="195" t="n"/>
      <c r="D42" s="45" t="n"/>
      <c r="E42" s="182" t="n"/>
      <c r="F42" s="182" t="n"/>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B43" s="195" t="n"/>
      <c r="C43" s="195" t="n"/>
      <c r="D43" s="45" t="n"/>
      <c r="E43" s="182" t="n"/>
      <c r="F43" s="182" t="n"/>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B44" s="195" t="n"/>
      <c r="C44" s="195" t="n"/>
      <c r="D44" s="45" t="n"/>
      <c r="E44" s="182" t="n"/>
      <c r="F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67" t="n"/>
      <c r="C45" s="195" t="n"/>
      <c r="D45" s="45" t="n"/>
    </row>
    <row r="46" ht="14" customHeight="1" s="304">
      <c r="B46" s="195" t="n"/>
      <c r="C46" s="195" t="n"/>
      <c r="D46" s="45" t="n"/>
    </row>
    <row r="47" ht="40" customHeight="1" s="304">
      <c r="B47" s="455"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56"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498" t="n"/>
      <c r="E49" s="45" t="n"/>
      <c r="F49" s="237" t="n"/>
      <c r="G49" s="499" t="n"/>
    </row>
    <row r="50" ht="14" customHeight="1" s="304">
      <c r="B50" s="45" t="n"/>
      <c r="C50" s="500" t="n"/>
      <c r="D50" s="498" t="n"/>
      <c r="E50" s="45" t="n"/>
      <c r="F50" s="237" t="n"/>
      <c r="G50" s="499" t="n"/>
    </row>
    <row r="51" ht="14" customHeight="1" s="304">
      <c r="B51" s="45" t="n"/>
      <c r="C51" s="500" t="n"/>
      <c r="D51" s="498" t="n"/>
      <c r="E51" s="45" t="n"/>
      <c r="F51" s="237" t="n"/>
      <c r="G51" s="499" t="n"/>
    </row>
    <row r="52" ht="14" customHeight="1" s="304">
      <c r="B52" s="45" t="n"/>
      <c r="C52" s="500" t="n"/>
      <c r="D52" s="498" t="n"/>
      <c r="E52" s="45" t="n"/>
      <c r="F52" s="237" t="n"/>
      <c r="G52" s="499" t="n"/>
    </row>
    <row r="53" ht="14" customHeight="1" s="304">
      <c r="B53" s="45" t="n"/>
      <c r="C53" s="500" t="n"/>
      <c r="D53" s="498" t="n"/>
      <c r="E53" s="45" t="n"/>
      <c r="F53" s="240" t="n"/>
      <c r="G53" s="499" t="n"/>
    </row>
    <row r="54" ht="14" customHeight="1" s="304">
      <c r="B54" s="45" t="n"/>
      <c r="C54" s="500" t="n"/>
      <c r="D54" s="498" t="n"/>
      <c r="E54" s="45" t="n"/>
      <c r="F54" s="237" t="n"/>
      <c r="G54" s="499" t="n"/>
    </row>
    <row r="55" ht="14" customHeight="1" s="304">
      <c r="B55" s="45" t="n"/>
      <c r="C55" s="500" t="n"/>
      <c r="D55" s="498" t="n"/>
      <c r="E55" s="45" t="n"/>
      <c r="F55" s="237" t="n"/>
      <c r="G55" s="499" t="n"/>
    </row>
    <row r="56" ht="14" customHeight="1" s="304">
      <c r="B56" s="45" t="n"/>
      <c r="C56" s="500" t="n"/>
      <c r="D56" s="498" t="n"/>
      <c r="E56" s="45" t="n"/>
      <c r="F56" s="237" t="n"/>
      <c r="G56" s="499" t="n"/>
    </row>
    <row r="57" ht="14" customHeight="1" s="304">
      <c r="B57" s="45" t="n"/>
      <c r="C57" s="500" t="n"/>
      <c r="D57" s="498" t="n"/>
      <c r="E57" s="45" t="n"/>
      <c r="F57" s="237" t="n"/>
      <c r="G57" s="499" t="n"/>
    </row>
    <row r="58" ht="14" customHeight="1" s="304">
      <c r="B58" s="45" t="n"/>
      <c r="C58" s="500" t="n"/>
      <c r="D58" s="498" t="n"/>
      <c r="E58" s="45" t="n"/>
      <c r="F58" s="237" t="n"/>
      <c r="G58" s="499" t="n"/>
    </row>
    <row r="59" ht="14" customHeight="1" s="304">
      <c r="B59" s="62" t="n"/>
      <c r="C59" s="498" t="n"/>
      <c r="D59" s="498" t="n"/>
      <c r="G59" s="499" t="n"/>
    </row>
    <row r="60" ht="14" customHeight="1" s="304">
      <c r="B60" s="241" t="n"/>
      <c r="C60" s="526" t="n"/>
      <c r="D60" s="526" t="n"/>
      <c r="G60" s="499" t="n"/>
    </row>
    <row r="61" ht="14" customHeight="1" s="304">
      <c r="B61" s="244" t="n"/>
      <c r="C61" s="526" t="n"/>
      <c r="D61" s="526" t="n"/>
      <c r="G61" s="499" t="n"/>
    </row>
    <row r="62" ht="14" customHeight="1" s="304">
      <c r="B62" s="62" t="n"/>
      <c r="C62" s="498" t="n"/>
      <c r="D62" s="498" t="n"/>
      <c r="E62" s="62" t="n"/>
      <c r="F62" s="62" t="n"/>
      <c r="G62" s="499" t="n"/>
    </row>
    <row r="63" ht="14" customHeight="1" s="304">
      <c r="B63" s="62" t="n"/>
      <c r="C63" s="498" t="n"/>
      <c r="D63" s="498" t="n"/>
      <c r="E63" s="62" t="n"/>
      <c r="F63" s="62" t="n"/>
      <c r="G63" s="499" t="n"/>
    </row>
    <row r="64" ht="14" customHeight="1" s="304">
      <c r="B64" s="62" t="n"/>
      <c r="C64" s="498" t="n"/>
      <c r="D64" s="498" t="n"/>
      <c r="E64" s="62" t="n"/>
      <c r="F64" s="62" t="n"/>
      <c r="G64" s="499" t="n"/>
    </row>
    <row r="65" ht="14" customHeight="1" s="304">
      <c r="B65" s="62" t="n"/>
      <c r="C65" s="498" t="n"/>
      <c r="D65" s="498" t="n"/>
      <c r="E65" s="62" t="n"/>
      <c r="F65" s="62" t="n"/>
      <c r="G65" s="499" t="n"/>
    </row>
    <row r="66" ht="14" customHeight="1" s="304">
      <c r="B66" s="62" t="n"/>
      <c r="C66" s="498" t="n"/>
      <c r="D66" s="498" t="n"/>
      <c r="E66" s="62" t="n"/>
      <c r="F66" s="62" t="n"/>
      <c r="G66" s="499" t="n"/>
    </row>
    <row r="67" ht="14" customHeight="1" s="304">
      <c r="B67" s="62" t="n"/>
      <c r="C67" s="498" t="n"/>
      <c r="D67" s="498" t="n"/>
      <c r="E67" s="62" t="n"/>
      <c r="F67" s="62" t="n"/>
      <c r="G67" s="499" t="n"/>
    </row>
    <row r="68" ht="14" customHeight="1" s="304">
      <c r="B68" s="62" t="n"/>
      <c r="C68" s="498" t="n"/>
      <c r="D68" s="498" t="n"/>
      <c r="E68" s="62" t="n"/>
      <c r="F68" s="62" t="n"/>
      <c r="G68" s="499" t="n"/>
    </row>
    <row r="69" ht="14" customHeight="1" s="304">
      <c r="B69" s="62" t="n"/>
      <c r="C69" s="498" t="n"/>
      <c r="D69" s="498" t="n"/>
      <c r="E69" s="62" t="n"/>
      <c r="F69" s="62" t="n"/>
      <c r="G69" s="499" t="n"/>
    </row>
    <row r="70" ht="14" customHeight="1" s="304">
      <c r="B70" s="62" t="n"/>
      <c r="C70" s="498" t="n"/>
      <c r="D70" s="498" t="n"/>
      <c r="E70" s="62" t="n"/>
      <c r="F70" s="62" t="n"/>
      <c r="G70" s="499" t="n"/>
    </row>
    <row r="71" ht="14" customHeight="1" s="304">
      <c r="B71" s="62" t="n"/>
      <c r="C71" s="498" t="n"/>
      <c r="D71" s="498" t="n"/>
      <c r="E71" s="62" t="n"/>
      <c r="F71" s="62" t="n"/>
      <c r="G71" s="499" t="n"/>
    </row>
    <row r="72" ht="14" customHeight="1" s="304">
      <c r="B72" s="62" t="n"/>
      <c r="C72" s="498" t="n"/>
      <c r="D72" s="498" t="n"/>
      <c r="E72" s="62" t="n"/>
      <c r="F72" s="62" t="n"/>
      <c r="G72" s="499" t="n"/>
    </row>
    <row r="73" ht="14" customHeight="1" s="304">
      <c r="B73" s="62" t="n"/>
      <c r="C73" s="498" t="n"/>
      <c r="D73" s="498" t="n"/>
      <c r="E73" s="62" t="n"/>
      <c r="F73" s="62" t="n"/>
      <c r="G73" s="499" t="n"/>
    </row>
    <row r="74" ht="14" customHeight="1" s="304">
      <c r="B74" s="244" t="n"/>
      <c r="C74" s="527" t="n"/>
      <c r="D74" s="527" t="n"/>
      <c r="G74" s="499" t="n"/>
    </row>
    <row r="75" ht="14" customHeight="1" s="304">
      <c r="B75" s="244" t="n"/>
      <c r="C75" s="527" t="n"/>
      <c r="D75" s="527" t="n"/>
      <c r="G75" s="499" t="n"/>
    </row>
    <row r="76" ht="14" customHeight="1" s="304">
      <c r="B76" s="244" t="n"/>
      <c r="C76" s="527" t="n"/>
      <c r="D76" s="527" t="n"/>
      <c r="G76" s="499" t="n"/>
    </row>
    <row r="77" ht="14" customHeight="1" s="304">
      <c r="B77" s="244" t="n"/>
      <c r="C77" s="527" t="n"/>
      <c r="D77" s="527" t="n"/>
      <c r="G77" s="499" t="n"/>
    </row>
    <row r="78" ht="14" customHeight="1" s="304">
      <c r="B78" s="195" t="n"/>
      <c r="C78" s="498" t="n"/>
      <c r="D78" s="503" t="n"/>
      <c r="G78" s="499" t="n"/>
    </row>
    <row r="79" ht="14" customHeight="1" s="304">
      <c r="C79" s="498" t="n"/>
      <c r="D79" s="503" t="n"/>
      <c r="G79" s="499" t="n"/>
    </row>
    <row r="80" ht="14" customHeight="1" s="304">
      <c r="B80" s="195" t="n"/>
      <c r="C80" s="498" t="n"/>
      <c r="D80" s="503" t="n"/>
      <c r="G80" s="499" t="n"/>
    </row>
    <row r="81" ht="14" customHeight="1" s="304">
      <c r="C81" s="498" t="n"/>
      <c r="D81" s="503" t="n"/>
      <c r="G81" s="499" t="n"/>
    </row>
    <row r="82" ht="14" customHeight="1" s="304">
      <c r="C82" s="498" t="n"/>
      <c r="D82" s="503" t="n"/>
      <c r="G82" s="499" t="n"/>
    </row>
    <row r="83" ht="14" customHeight="1" s="304">
      <c r="C83" s="498" t="n"/>
      <c r="D83" s="503" t="n"/>
      <c r="G83" s="499" t="n"/>
    </row>
    <row r="84" ht="14" customHeight="1" s="304">
      <c r="C84" s="498" t="n"/>
      <c r="D84" s="503" t="n"/>
      <c r="G84" s="499" t="n"/>
    </row>
    <row r="85" ht="14" customHeight="1" s="304">
      <c r="C85" s="498" t="n"/>
      <c r="D85" s="503" t="n"/>
      <c r="G85" s="499" t="n"/>
    </row>
    <row r="86" ht="14" customHeight="1" s="304">
      <c r="C86" s="498" t="n"/>
      <c r="D86" s="503" t="n"/>
      <c r="G86" s="499" t="n"/>
    </row>
    <row r="87" ht="14" customHeight="1" s="304">
      <c r="C87" s="498" t="n"/>
      <c r="D87" s="503" t="n"/>
      <c r="G87" s="499" t="n"/>
    </row>
    <row r="88" ht="14" customHeight="1" s="304">
      <c r="C88" s="498" t="n"/>
      <c r="D88" s="503" t="n"/>
      <c r="G88" s="499" t="n"/>
    </row>
    <row r="89" ht="14" customHeight="1" s="304">
      <c r="C89" s="498" t="n"/>
      <c r="D89" s="503" t="n"/>
      <c r="G89" s="499" t="n"/>
    </row>
    <row r="90" ht="14" customHeight="1" s="304">
      <c r="C90" s="498" t="n"/>
      <c r="D90" s="503" t="n"/>
      <c r="G90" s="499" t="n"/>
    </row>
    <row r="91" ht="14" customHeight="1" s="304">
      <c r="C91" s="498" t="n"/>
      <c r="D91" s="503" t="n"/>
      <c r="G91" s="499" t="n"/>
    </row>
    <row r="92" ht="14" customHeight="1" s="304">
      <c r="C92" s="498" t="n"/>
      <c r="D92" s="503" t="n"/>
      <c r="G92" s="499" t="n"/>
    </row>
    <row r="93" ht="14" customHeight="1" s="304">
      <c r="C93" s="498" t="n"/>
      <c r="D93" s="503" t="n"/>
      <c r="G93" s="499" t="n"/>
    </row>
    <row r="94" ht="14" customHeight="1" s="304">
      <c r="C94" s="498" t="n"/>
      <c r="D94" s="503" t="n"/>
      <c r="G94" s="499" t="n"/>
    </row>
    <row r="95" ht="14" customHeight="1" s="304">
      <c r="C95" s="498" t="n"/>
      <c r="D95" s="503" t="n"/>
      <c r="G95" s="499" t="n"/>
    </row>
    <row r="96" ht="14" customHeight="1" s="304">
      <c r="C96" s="498" t="n"/>
      <c r="D96" s="503" t="n"/>
      <c r="G96" s="499" t="n"/>
    </row>
    <row r="97" ht="14" customHeight="1" s="304">
      <c r="C97" s="498" t="n"/>
      <c r="D97" s="503" t="n"/>
      <c r="G97" s="499" t="n"/>
    </row>
    <row r="98" ht="14" customHeight="1" s="304">
      <c r="C98" s="498" t="n"/>
      <c r="D98" s="503" t="n"/>
      <c r="G98" s="499" t="n"/>
    </row>
    <row r="99" ht="14" customHeight="1" s="304">
      <c r="C99" s="498" t="n"/>
      <c r="D99" s="503" t="n"/>
      <c r="G99" s="499" t="n"/>
    </row>
    <row r="100" ht="14" customHeight="1" s="304">
      <c r="C100" s="498" t="n"/>
      <c r="D100" s="503" t="n"/>
      <c r="G100" s="499" t="n"/>
    </row>
    <row r="101" ht="14" customHeight="1" s="304">
      <c r="C101" s="498"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81:B101">
    <cfRule type="cellIs" priority="586" operator="equal" dxfId="5" stopIfTrue="1">
      <formula>"Sat"</formula>
    </cfRule>
    <cfRule type="cellIs" priority="587" operator="equal" dxfId="0" stopIfTrue="1">
      <formula>"Sun"</formula>
    </cfRule>
  </conditionalFormatting>
  <conditionalFormatting sqref="A1:H2 A3:I4 A5:A78 A79:B79 A80 A102:XFD65536 B5:H5 B35:E40 D47:XFD47 D78:J79 E20:G21 E23:E34 E59:XFD61 E91:XFD92 F6:G14 F17:G17 F25:F26 F40:G40 G41:G44 G45:XFD46 G48:XFD58 G62:XFD67 G68:J73 H6:H44 I2 I5:I6 I9 I42:I44 J5:BS16 P68:XFD79">
    <cfRule type="cellIs" priority="793" operator="equal" dxfId="0" stopIfTrue="1">
      <formula>"Sun"</formula>
    </cfRule>
  </conditionalFormatting>
  <conditionalFormatting sqref="B18:B32">
    <cfRule type="cellIs" priority="50" operator="equal" dxfId="0" stopIfTrue="1">
      <formula>"Sun"</formula>
    </cfRule>
    <cfRule type="cellIs" priority="49" operator="equal" dxfId="5" stopIfTrue="1">
      <formula>"Sat"</formula>
    </cfRule>
  </conditionalFormatting>
  <conditionalFormatting sqref="B33:D34">
    <cfRule type="cellIs" priority="110" operator="equal" dxfId="5" stopIfTrue="1">
      <formula>"Sat"</formula>
    </cfRule>
    <cfRule type="cellIs" priority="111" operator="equal" dxfId="0" stopIfTrue="1">
      <formula>"Sun"</formula>
    </cfRule>
  </conditionalFormatting>
  <conditionalFormatting sqref="B60:D61 B74:J77">
    <cfRule type="cellIs" priority="515" operator="equal" dxfId="0" stopIfTrue="1">
      <formula>"Sun"</formula>
    </cfRule>
    <cfRule type="cellIs" priority="514" operator="equal" dxfId="5" stopIfTrue="1">
      <formula>"Sat"</formula>
    </cfRule>
  </conditionalFormatting>
  <conditionalFormatting sqref="B6:E17">
    <cfRule type="cellIs" priority="791" operator="equal" dxfId="0" stopIfTrue="1">
      <formula>"Sun"</formula>
    </cfRule>
    <cfRule type="cellIs" priority="790" operator="equal" dxfId="5" stopIfTrue="1">
      <formula>"Sat"</formula>
    </cfRule>
  </conditionalFormatting>
  <conditionalFormatting sqref="C27">
    <cfRule type="cellIs" priority="29" operator="equal" dxfId="5" stopIfTrue="1">
      <formula>"Sat"</formula>
    </cfRule>
    <cfRule type="cellIs" priority="30" operator="equal" dxfId="0" stopIfTrue="1">
      <formula>"Sun"</formula>
    </cfRule>
  </conditionalFormatting>
  <conditionalFormatting sqref="C29:C30">
    <cfRule type="cellIs" priority="23" operator="equal" dxfId="5" stopIfTrue="1">
      <formula>"Sat"</formula>
    </cfRule>
    <cfRule type="cellIs" priority="24" operator="equal" dxfId="0" stopIfTrue="1">
      <formula>"Sun"</formula>
    </cfRule>
  </conditionalFormatting>
  <conditionalFormatting sqref="C21:D21">
    <cfRule type="cellIs" priority="22" operator="equal" dxfId="0" stopIfTrue="1">
      <formula>"Sun"</formula>
    </cfRule>
    <cfRule type="cellIs" priority="21" operator="equal" dxfId="5" stopIfTrue="1">
      <formula>"Sat"</formula>
    </cfRule>
  </conditionalFormatting>
  <conditionalFormatting sqref="C24:D24">
    <cfRule type="cellIs" priority="27" operator="equal" dxfId="5" stopIfTrue="1">
      <formula>"Sat"</formula>
    </cfRule>
    <cfRule type="cellIs" priority="28" operator="equal" dxfId="0" stopIfTrue="1">
      <formula>"Sun"</formula>
    </cfRule>
  </conditionalFormatting>
  <conditionalFormatting sqref="C26:D26">
    <cfRule type="cellIs" priority="41" operator="equal" dxfId="5" stopIfTrue="1">
      <formula>"Sat"</formula>
    </cfRule>
    <cfRule type="cellIs" priority="42" operator="equal" dxfId="0" stopIfTrue="1">
      <formula>"Sun"</formula>
    </cfRule>
  </conditionalFormatting>
  <conditionalFormatting sqref="C31:D32">
    <cfRule type="cellIs" priority="43" operator="equal" dxfId="5" stopIfTrue="1">
      <formula>"Sat"</formula>
    </cfRule>
    <cfRule type="cellIs" priority="44" operator="equal" dxfId="0" stopIfTrue="1">
      <formula>"Sun"</formula>
    </cfRule>
  </conditionalFormatting>
  <conditionalFormatting sqref="C19:E19 D27:D28">
    <cfRule type="cellIs" priority="45" operator="equal" dxfId="5" stopIfTrue="1">
      <formula>"Sat"</formula>
    </cfRule>
    <cfRule type="cellIs" priority="46" operator="equal" dxfId="0" stopIfTrue="1">
      <formula>"Sun"</formula>
    </cfRule>
  </conditionalFormatting>
  <conditionalFormatting sqref="C18:F18">
    <cfRule type="cellIs" priority="19" operator="equal" dxfId="5" stopIfTrue="1">
      <formula>"Sat"</formula>
    </cfRule>
    <cfRule type="cellIs" priority="20" operator="equal" dxfId="0" stopIfTrue="1">
      <formula>"Sun"</formula>
    </cfRule>
  </conditionalFormatting>
  <conditionalFormatting sqref="C22:F22">
    <cfRule type="cellIs" priority="32" operator="equal" dxfId="0" stopIfTrue="1">
      <formula>"Sun"</formula>
    </cfRule>
    <cfRule type="cellIs" priority="31" operator="equal" dxfId="5" stopIfTrue="1">
      <formula>"Sat"</formula>
    </cfRule>
  </conditionalFormatting>
  <conditionalFormatting sqref="D91:D92">
    <cfRule type="cellIs" priority="604" operator="equal" dxfId="5" stopIfTrue="1">
      <formula>"Sat"</formula>
    </cfRule>
    <cfRule type="cellIs" priority="605" operator="equal" dxfId="0" stopIfTrue="1">
      <formula>"Sun"</formula>
    </cfRule>
  </conditionalFormatting>
  <conditionalFormatting sqref="D41:F46">
    <cfRule type="cellIs" priority="498" operator="equal" dxfId="5" stopIfTrue="1">
      <formula>"Sat"</formula>
    </cfRule>
    <cfRule type="cellIs" priority="499" operator="equal" dxfId="0" stopIfTrue="1">
      <formula>"Sun"</formula>
    </cfRule>
  </conditionalFormatting>
  <conditionalFormatting sqref="D80:XFD90">
    <cfRule type="cellIs" priority="632" operator="equal" dxfId="5" stopIfTrue="1">
      <formula>"Sat"</formula>
    </cfRule>
    <cfRule type="cellIs" priority="633" operator="equal" dxfId="0" stopIfTrue="1">
      <formula>"Sun"</formula>
    </cfRule>
  </conditionalFormatting>
  <conditionalFormatting sqref="D93:XFD101">
    <cfRule type="cellIs" priority="594" operator="equal" dxfId="5" stopIfTrue="1">
      <formula>"Sat"</formula>
    </cfRule>
    <cfRule type="cellIs" priority="595" operator="equal" dxfId="0" stopIfTrue="1">
      <formula>"Sun"</formula>
    </cfRule>
  </conditionalFormatting>
  <conditionalFormatting sqref="A1:H2 A3:I4 A5:A78 A79:B79 A80 A102:XFD65536 B5:H5 B35:E40 D47:XFD47 D78:J79 E20:G21 E23:E34 E59:XFD61 E91:XFD92 F6:G14 F17:G17 F25:F26 F40:G40 G41:G44 G45:XFD46 G48:XFD58 G62:XFD67 G68:J73 H6:H44 I2 I5:I6 I9 J5:BS16 P68:XFD79">
    <cfRule type="cellIs" priority="792" operator="equal" dxfId="5" stopIfTrue="1">
      <formula>"Sat"</formula>
    </cfRule>
  </conditionalFormatting>
  <conditionalFormatting sqref="F48:F52 F54:F58">
    <cfRule type="cellIs" priority="17" operator="equal" dxfId="5" stopIfTrue="1">
      <formula>"Sat"</formula>
    </cfRule>
    <cfRule type="cellIs" priority="18" operator="equal" dxfId="0" stopIfTrue="1">
      <formula>"Sun"</formula>
    </cfRule>
  </conditionalFormatting>
  <conditionalFormatting sqref="I20:I37">
    <cfRule type="cellIs" priority="750" operator="equal" dxfId="5" stopIfTrue="1">
      <formula>"Sat"</formula>
    </cfRule>
    <cfRule type="cellIs" priority="751" operator="equal" dxfId="0" stopIfTrue="1">
      <formula>"Sun"</formula>
    </cfRule>
  </conditionalFormatting>
  <conditionalFormatting sqref="I17:BS17">
    <cfRule type="cellIs" priority="143" operator="equal" dxfId="0" stopIfTrue="1">
      <formula>"Sun"</formula>
    </cfRule>
    <cfRule type="cellIs" priority="142" operator="equal" dxfId="5" stopIfTrue="1">
      <formula>"Sat"</formula>
    </cfRule>
  </conditionalFormatting>
  <conditionalFormatting sqref="I42:BS44">
    <cfRule type="cellIs" priority="156" operator="equal" dxfId="5" stopIfTrue="1">
      <formula>"Sat"</formula>
    </cfRule>
  </conditionalFormatting>
  <conditionalFormatting sqref="J18:BS38">
    <cfRule type="cellIs" priority="2" operator="equal" dxfId="0" stopIfTrue="1">
      <formula>"Sun"</formula>
    </cfRule>
  </conditionalFormatting>
  <conditionalFormatting sqref="J18:BS41">
    <cfRule type="cellIs" priority="1" operator="equal" dxfId="5" stopIfTrue="1">
      <formula>"Sat"</formula>
    </cfRule>
  </conditionalFormatting>
  <conditionalFormatting sqref="J39:BS44">
    <cfRule type="cellIs" priority="157" operator="equal" dxfId="0" stopIfTrue="1">
      <formula>"Sun"</formula>
    </cfRule>
  </conditionalFormatting>
  <conditionalFormatting sqref="K73:M74">
    <cfRule type="cellIs" priority="622" operator="equal" dxfId="5" stopIfTrue="1">
      <formula>"Sat"</formula>
    </cfRule>
    <cfRule type="cellIs" priority="623" operator="equal" dxfId="0" stopIfTrue="1">
      <formula>"Sun"</formula>
    </cfRule>
  </conditionalFormatting>
  <conditionalFormatting sqref="K86:M87">
    <cfRule type="cellIs" priority="612" operator="equal" dxfId="5" stopIfTrue="1">
      <formula>"Sat"</formula>
    </cfRule>
    <cfRule type="cellIs" priority="613" operator="equal" dxfId="0" stopIfTrue="1">
      <formula>"Sun"</formula>
    </cfRule>
  </conditionalFormatting>
  <conditionalFormatting sqref="K61:O79">
    <cfRule type="cellIs" priority="638" operator="equal" dxfId="5" stopIfTrue="1">
      <formula>"Sat"</formula>
    </cfRule>
    <cfRule type="cellIs" priority="639" operator="equal" dxfId="0" stopIfTrue="1">
      <formula>"Sun"</formula>
    </cfRule>
  </conditionalFormatting>
  <conditionalFormatting sqref="K75:O77">
    <cfRule type="cellIs" priority="628" operator="equal" dxfId="5" stopIfTrue="1">
      <formula>"Sat"</formula>
    </cfRule>
    <cfRule type="cellIs" priority="629" operator="equal" dxfId="0" stopIfTrue="1">
      <formula>"Sun"</formula>
    </cfRule>
  </conditionalFormatting>
  <conditionalFormatting sqref="K88:O92">
    <cfRule type="cellIs" priority="616" operator="equal" dxfId="5" stopIfTrue="1">
      <formula>"Sat"</formula>
    </cfRule>
    <cfRule type="cellIs" priority="617" operator="equal" dxfId="0" stopIfTrue="1">
      <formula>"Sun"</formula>
    </cfRule>
  </conditionalFormatting>
  <conditionalFormatting sqref="BT1:IV44">
    <cfRule type="cellIs" priority="467" operator="equal" dxfId="0" stopIfTrue="1">
      <formula>"Sun"</formula>
    </cfRule>
    <cfRule type="cellIs" priority="466" operator="equal" dxfId="5" stopIfTrue="1">
      <formula>"Sat"</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1.xml><?xml version="1.0" encoding="utf-8"?>
<worksheet xmlns="http://schemas.openxmlformats.org/spreadsheetml/2006/main">
  <sheetPr>
    <tabColor indexed="21"/>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8.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8"/>
    <col width="11" bestFit="1" customWidth="1" style="1" min="39" max="39"/>
    <col width="8.90625" customWidth="1" style="1" min="40" max="42"/>
    <col width="11" bestFit="1" customWidth="1" style="1" min="43" max="43"/>
    <col width="8.90625" customWidth="1" style="1" min="44" max="48"/>
    <col width="11" bestFit="1" customWidth="1" style="1" min="49" max="49"/>
    <col width="8.90625" customWidth="1" style="1" min="50" max="52"/>
    <col width="11" bestFit="1" customWidth="1" style="1" min="53" max="53"/>
    <col width="8.90625" customWidth="1" style="1" min="54" max="54"/>
    <col width="12" bestFit="1" customWidth="1" style="1" min="55" max="55"/>
    <col width="8.90625" customWidth="1" style="1" min="56" max="68"/>
    <col width="11"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10</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507" t="n"/>
      <c r="D8" s="528"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436" t="n"/>
      <c r="C9" s="507" t="n"/>
      <c r="D9" s="512"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7" t="n"/>
      <c r="D10" s="512"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80">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7"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F18+Sep!F22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71"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71"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69"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93"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B41" s="62" t="n"/>
      <c r="C41" s="62" t="n"/>
      <c r="D41" s="166" t="n"/>
      <c r="E41" s="182" t="n"/>
      <c r="F41" s="182" t="n"/>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B42" s="62" t="n"/>
      <c r="C42" s="62" t="n"/>
      <c r="D42" s="166" t="n"/>
      <c r="E42" s="182" t="n"/>
      <c r="F42" s="182" t="n"/>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B43" s="62" t="n"/>
      <c r="C43" s="62" t="n"/>
      <c r="D43" s="166" t="n"/>
      <c r="E43" s="182" t="n"/>
      <c r="F43" s="182" t="n"/>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B44" s="62" t="n"/>
      <c r="C44" s="62" t="n"/>
      <c r="D44" s="166" t="n"/>
      <c r="E44" s="182" t="n"/>
      <c r="F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62" t="n"/>
      <c r="C45" s="62" t="n"/>
      <c r="D45" s="166" t="n"/>
      <c r="F45" s="166" t="n"/>
    </row>
    <row r="46" ht="14" customHeight="1" s="304">
      <c r="B46" s="62" t="n"/>
      <c r="C46" s="62" t="n"/>
      <c r="D46" s="166" t="n"/>
      <c r="AA46" s="166" t="n"/>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56"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498" t="n"/>
      <c r="E49" s="45" t="n"/>
      <c r="F49" s="237" t="n"/>
      <c r="G49" s="499" t="n"/>
    </row>
    <row r="50" ht="14" customHeight="1" s="304">
      <c r="B50" s="45" t="n"/>
      <c r="C50" s="500" t="n"/>
      <c r="D50" s="498" t="n"/>
      <c r="E50" s="45" t="n"/>
      <c r="F50" s="237" t="n"/>
      <c r="G50" s="499" t="n"/>
    </row>
    <row r="51" ht="14" customHeight="1" s="304">
      <c r="B51" s="45" t="n"/>
      <c r="C51" s="500" t="n"/>
      <c r="D51" s="498" t="n"/>
      <c r="E51" s="45" t="n"/>
      <c r="F51" s="237" t="n"/>
      <c r="G51" s="499" t="n"/>
    </row>
    <row r="52" ht="14" customHeight="1" s="304">
      <c r="B52" s="45" t="n"/>
      <c r="C52" s="500" t="n"/>
      <c r="D52" s="498" t="n"/>
      <c r="E52" s="45" t="n"/>
      <c r="F52" s="237" t="n"/>
      <c r="G52" s="499" t="n"/>
    </row>
    <row r="53" ht="14" customHeight="1" s="304">
      <c r="B53" s="45" t="n"/>
      <c r="C53" s="500" t="n"/>
      <c r="D53" s="498" t="n"/>
      <c r="E53" s="45" t="n"/>
      <c r="F53" s="240" t="n"/>
      <c r="G53" s="499" t="n"/>
    </row>
    <row r="54" ht="14" customHeight="1" s="304">
      <c r="B54" s="45" t="n"/>
      <c r="C54" s="500" t="n"/>
      <c r="D54" s="498" t="n"/>
      <c r="E54" s="45" t="n"/>
      <c r="F54" s="237" t="n"/>
      <c r="G54" s="499" t="n"/>
    </row>
    <row r="55" ht="14" customHeight="1" s="304">
      <c r="B55" s="45" t="n"/>
      <c r="C55" s="500" t="n"/>
      <c r="D55" s="498" t="n"/>
      <c r="E55" s="45" t="n"/>
      <c r="F55" s="237" t="n"/>
      <c r="G55" s="499" t="n"/>
    </row>
    <row r="56" ht="14" customHeight="1" s="304">
      <c r="B56" s="45" t="n"/>
      <c r="C56" s="500" t="n"/>
      <c r="D56" s="498" t="n"/>
      <c r="E56" s="45" t="n"/>
      <c r="F56" s="237" t="n"/>
      <c r="G56" s="499" t="n"/>
    </row>
    <row r="57" ht="14" customHeight="1" s="304">
      <c r="B57" s="45" t="n"/>
      <c r="C57" s="500" t="n"/>
      <c r="D57" s="498" t="n"/>
      <c r="E57" s="45" t="n"/>
      <c r="F57" s="237" t="n"/>
      <c r="G57" s="499" t="n"/>
    </row>
    <row r="58" ht="14" customHeight="1" s="304">
      <c r="B58" s="45" t="n"/>
      <c r="C58" s="500" t="n"/>
      <c r="D58" s="498" t="n"/>
      <c r="E58" s="45" t="n"/>
      <c r="F58" s="237" t="n"/>
      <c r="G58" s="499" t="n"/>
    </row>
    <row r="59" ht="14" customHeight="1" s="304">
      <c r="B59" s="62" t="n"/>
      <c r="C59" s="498" t="n"/>
      <c r="D59" s="529" t="n"/>
      <c r="G59" s="499" t="n"/>
    </row>
    <row r="60" ht="14" customHeight="1" s="304">
      <c r="B60" s="62" t="n"/>
      <c r="C60" s="498" t="n"/>
      <c r="D60" s="502" t="n"/>
      <c r="G60" s="499" t="n"/>
    </row>
    <row r="61" ht="14" customHeight="1" s="304">
      <c r="B61" s="62" t="n"/>
      <c r="C61" s="498" t="n"/>
      <c r="D61" s="502" t="n"/>
      <c r="G61" s="499" t="n"/>
    </row>
    <row r="62" ht="14" customHeight="1" s="304">
      <c r="B62" s="62" t="n"/>
      <c r="C62" s="498" t="n"/>
      <c r="D62" s="502" t="n"/>
      <c r="G62" s="499" t="n"/>
    </row>
    <row r="63">
      <c r="C63" s="502" t="n"/>
      <c r="D63" s="502" t="n"/>
      <c r="G63" s="499" t="n"/>
    </row>
    <row r="64" ht="14" customHeight="1" s="304">
      <c r="B64" s="62" t="n"/>
      <c r="C64" s="501" t="n"/>
      <c r="D64" s="502" t="n"/>
      <c r="G64" s="499" t="n"/>
    </row>
    <row r="65" ht="14" customHeight="1" s="304">
      <c r="B65" s="62" t="n"/>
      <c r="C65" s="501" t="n"/>
      <c r="D65" s="502" t="n"/>
      <c r="G65" s="499" t="n"/>
    </row>
    <row r="66" ht="14" customHeight="1" s="304">
      <c r="B66" s="62" t="n"/>
      <c r="C66" s="501" t="n"/>
      <c r="D66" s="502" t="n"/>
      <c r="G66" s="499" t="n"/>
    </row>
    <row r="67" ht="14" customHeight="1" s="304">
      <c r="B67" s="248" t="n"/>
      <c r="C67" s="501" t="n"/>
      <c r="D67" s="502" t="n"/>
      <c r="G67" s="499" t="n"/>
    </row>
    <row r="68" ht="14" customHeight="1" s="304">
      <c r="B68" s="248" t="n"/>
      <c r="C68" s="501" t="n"/>
      <c r="D68" s="502" t="n"/>
      <c r="G68" s="499" t="n"/>
    </row>
    <row r="69" ht="14" customHeight="1" s="304">
      <c r="B69" s="170" t="n"/>
      <c r="C69" s="501" t="n"/>
      <c r="D69" s="502" t="n"/>
      <c r="G69" s="499" t="n"/>
    </row>
    <row r="70">
      <c r="C70" s="502" t="n"/>
      <c r="D70" s="502" t="n"/>
      <c r="G70" s="499" t="n"/>
    </row>
    <row r="71">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c r="C76" s="502"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62 A63:XFD63 A64:A69 A70:XFD65536 B5:H5 B35:E40 D60:XFD62 D64:XFD69 E19:E21 E23:E24 E25:F26 E27:E34 F6:G14 F17:G17 F20:G21 F40:G40 G41:G44 G45:XFD59 H6:H44 I2 I5:I6 I9 J5:BS16 BT1:IV44">
    <cfRule type="cellIs" priority="707" operator="equal" dxfId="0" stopIfTrue="1">
      <formula>"Sun"</formula>
    </cfRule>
    <cfRule type="cellIs" priority="706" operator="equal" dxfId="5" stopIfTrue="1">
      <formula>"Sat"</formula>
    </cfRule>
  </conditionalFormatting>
  <conditionalFormatting sqref="B18:B32">
    <cfRule type="cellIs" priority="53" operator="equal" dxfId="0" stopIfTrue="1">
      <formula>"Sun"</formula>
    </cfRule>
    <cfRule type="cellIs" priority="52" operator="equal" dxfId="5" stopIfTrue="1">
      <formula>"Sat"</formula>
    </cfRule>
  </conditionalFormatting>
  <conditionalFormatting sqref="B33:D34">
    <cfRule type="cellIs" priority="106" operator="equal" dxfId="5" stopIfTrue="1">
      <formula>"Sat"</formula>
    </cfRule>
    <cfRule type="cellIs" priority="107" operator="equal" dxfId="0" stopIfTrue="1">
      <formula>"Sun"</formula>
    </cfRule>
  </conditionalFormatting>
  <conditionalFormatting sqref="B6:E17">
    <cfRule type="cellIs" priority="697" operator="equal" dxfId="0" stopIfTrue="1">
      <formula>"Sun"</formula>
    </cfRule>
    <cfRule type="cellIs" priority="696" operator="equal" dxfId="5" stopIfTrue="1">
      <formula>"Sat"</formula>
    </cfRule>
  </conditionalFormatting>
  <conditionalFormatting sqref="C27">
    <cfRule type="cellIs" priority="32" operator="equal" dxfId="5" stopIfTrue="1">
      <formula>"Sat"</formula>
    </cfRule>
    <cfRule type="cellIs" priority="33" operator="equal" dxfId="0" stopIfTrue="1">
      <formula>"Sun"</formula>
    </cfRule>
  </conditionalFormatting>
  <conditionalFormatting sqref="C29:C30">
    <cfRule type="cellIs" priority="20" operator="equal" dxfId="5" stopIfTrue="1">
      <formula>"Sat"</formula>
    </cfRule>
    <cfRule type="cellIs" priority="21" operator="equal" dxfId="0" stopIfTrue="1">
      <formula>"Sun"</formula>
    </cfRule>
  </conditionalFormatting>
  <conditionalFormatting sqref="C19:D19">
    <cfRule type="cellIs" priority="42" operator="equal" dxfId="5" stopIfTrue="1">
      <formula>"Sat"</formula>
    </cfRule>
    <cfRule type="cellIs" priority="43" operator="equal" dxfId="0" stopIfTrue="1">
      <formula>"Sun"</formula>
    </cfRule>
  </conditionalFormatting>
  <conditionalFormatting sqref="C21:D21">
    <cfRule type="cellIs" priority="27" operator="equal" dxfId="0" stopIfTrue="1">
      <formula>"Sun"</formula>
    </cfRule>
    <cfRule type="cellIs" priority="26" operator="equal" dxfId="5" stopIfTrue="1">
      <formula>"Sat"</formula>
    </cfRule>
  </conditionalFormatting>
  <conditionalFormatting sqref="C24:D24">
    <cfRule type="cellIs" priority="31" operator="equal" dxfId="0" stopIfTrue="1">
      <formula>"Sun"</formula>
    </cfRule>
    <cfRule type="cellIs" priority="30" operator="equal" dxfId="5" stopIfTrue="1">
      <formula>"Sat"</formula>
    </cfRule>
  </conditionalFormatting>
  <conditionalFormatting sqref="C26:D26">
    <cfRule type="cellIs" priority="44" operator="equal" dxfId="5" stopIfTrue="1">
      <formula>"Sat"</formula>
    </cfRule>
    <cfRule type="cellIs" priority="45" operator="equal" dxfId="0" stopIfTrue="1">
      <formula>"Sun"</formula>
    </cfRule>
  </conditionalFormatting>
  <conditionalFormatting sqref="C31:D32">
    <cfRule type="cellIs" priority="46" operator="equal" dxfId="5" stopIfTrue="1">
      <formula>"Sat"</formula>
    </cfRule>
    <cfRule type="cellIs" priority="47" operator="equal" dxfId="0" stopIfTrue="1">
      <formula>"Sun"</formula>
    </cfRule>
  </conditionalFormatting>
  <conditionalFormatting sqref="C18:F18">
    <cfRule type="cellIs" priority="22" operator="equal" dxfId="5" stopIfTrue="1">
      <formula>"Sat"</formula>
    </cfRule>
    <cfRule type="cellIs" priority="23" operator="equal" dxfId="0" stopIfTrue="1">
      <formula>"Sun"</formula>
    </cfRule>
  </conditionalFormatting>
  <conditionalFormatting sqref="C22:F22">
    <cfRule type="cellIs" priority="35" operator="equal" dxfId="0" stopIfTrue="1">
      <formula>"Sun"</formula>
    </cfRule>
    <cfRule type="cellIs" priority="34" operator="equal" dxfId="5" stopIfTrue="1">
      <formula>"Sat"</formula>
    </cfRule>
  </conditionalFormatting>
  <conditionalFormatting sqref="D27:D28">
    <cfRule type="cellIs" priority="48" operator="equal" dxfId="5" stopIfTrue="1">
      <formula>"Sat"</formula>
    </cfRule>
    <cfRule type="cellIs" priority="49" operator="equal" dxfId="0" stopIfTrue="1">
      <formula>"Sun"</formula>
    </cfRule>
  </conditionalFormatting>
  <conditionalFormatting sqref="D41:F47">
    <cfRule type="cellIs" priority="490" operator="equal" dxfId="5" stopIfTrue="1">
      <formula>"Sat"</formula>
    </cfRule>
    <cfRule type="cellIs" priority="491" operator="equal" dxfId="0" stopIfTrue="1">
      <formula>"Sun"</formula>
    </cfRule>
  </conditionalFormatting>
  <conditionalFormatting sqref="E59:F59">
    <cfRule type="cellIs" priority="18" operator="equal" dxfId="5" stopIfTrue="1">
      <formula>"Sat"</formula>
    </cfRule>
    <cfRule type="cellIs" priority="19" operator="equal" dxfId="0" stopIfTrue="1">
      <formula>"Sun"</formula>
    </cfRule>
  </conditionalFormatting>
  <conditionalFormatting sqref="F48:F52 F54:F58">
    <cfRule type="cellIs" priority="16" operator="equal" dxfId="5" stopIfTrue="1">
      <formula>"Sat"</formula>
    </cfRule>
    <cfRule type="cellIs" priority="17" operator="equal" dxfId="0" stopIfTrue="1">
      <formula>"Sun"</formula>
    </cfRule>
  </conditionalFormatting>
  <conditionalFormatting sqref="I20:I37">
    <cfRule type="cellIs" priority="635" operator="equal" dxfId="0" stopIfTrue="1">
      <formula>"Sun"</formula>
    </cfRule>
    <cfRule type="cellIs" priority="634" operator="equal" dxfId="5" stopIfTrue="1">
      <formula>"Sat"</formula>
    </cfRule>
  </conditionalFormatting>
  <conditionalFormatting sqref="I17:BS17">
    <cfRule type="cellIs" priority="2" operator="equal" dxfId="0" stopIfTrue="1">
      <formula>"Sun"</formula>
    </cfRule>
    <cfRule type="cellIs" priority="1" operator="equal" dxfId="5" stopIfTrue="1">
      <formula>"Sat"</formula>
    </cfRule>
  </conditionalFormatting>
  <conditionalFormatting sqref="I42:BS44">
    <cfRule type="cellIs" priority="152" operator="equal" dxfId="5" stopIfTrue="1">
      <formula>"Sat"</formula>
    </cfRule>
    <cfRule type="cellIs" priority="153" operator="equal" dxfId="0" stopIfTrue="1">
      <formula>"Sun"</formula>
    </cfRule>
  </conditionalFormatting>
  <conditionalFormatting sqref="J18:BS41">
    <cfRule type="cellIs" priority="3" operator="equal" dxfId="5" stopIfTrue="1">
      <formula>"Sat"</formula>
    </cfRule>
    <cfRule type="cellIs" priority="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2.xml><?xml version="1.0" encoding="utf-8"?>
<worksheet xmlns="http://schemas.openxmlformats.org/spreadsheetml/2006/main">
  <sheetPr>
    <tabColor indexed="15"/>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AV37" sqref="AV37"/>
    </sheetView>
  </sheetViews>
  <sheetFormatPr baseColWidth="8" defaultColWidth="8.90625" defaultRowHeight="13.5"/>
  <cols>
    <col width="1.08984375" customWidth="1" style="1" min="1" max="1"/>
    <col width="27" customWidth="1" style="1" min="2" max="2"/>
    <col width="12.7265625" bestFit="1"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6328125"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7.36328125" bestFit="1"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6"/>
    <col width="11" bestFit="1" customWidth="1" style="1" min="37" max="37"/>
    <col width="10.6328125" bestFit="1" customWidth="1" style="1" min="38" max="38"/>
    <col width="8.90625" customWidth="1" style="1" min="39" max="44"/>
    <col width="11" bestFit="1" customWidth="1" style="1" min="45" max="45"/>
    <col width="8.90625" customWidth="1" style="1" min="46" max="54"/>
    <col width="12" bestFit="1" customWidth="1" style="1" min="55" max="55"/>
    <col width="8.90625" customWidth="1" style="1" min="56" max="56"/>
    <col width="9.36328125" bestFit="1" customWidth="1" style="1" min="57" max="57"/>
    <col width="8.90625" customWidth="1" style="1" min="58" max="60"/>
    <col width="10" bestFit="1" customWidth="1" style="1" min="61" max="61"/>
    <col width="8.90625" customWidth="1" style="1" min="62" max="62"/>
    <col width="10" bestFit="1" customWidth="1" style="1" min="63" max="63"/>
    <col width="12" bestFit="1" customWidth="1" style="1" min="64" max="64"/>
    <col width="11" bestFit="1" customWidth="1" style="1" min="65" max="65"/>
    <col width="8.90625" customWidth="1" style="1" min="66" max="66"/>
    <col width="12" bestFit="1" customWidth="1" style="1" min="67" max="67"/>
    <col width="12.90625" customWidth="1" style="1" min="68" max="68"/>
    <col width="12"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11</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412"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F18+Oct!F22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24"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69"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93"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69"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69" t="n"/>
      <c r="O40" s="479"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B41" s="62" t="n"/>
      <c r="C41" s="62" t="n"/>
      <c r="D41" s="166" t="n"/>
      <c r="E41" s="182" t="n"/>
      <c r="F41" s="182" t="n"/>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B42" s="62" t="n"/>
      <c r="C42" s="62" t="n"/>
      <c r="D42" s="166" t="n"/>
      <c r="E42" s="182" t="n"/>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B43" s="62" t="n"/>
      <c r="C43" s="62" t="n"/>
      <c r="D43" s="166" t="n"/>
      <c r="E43" s="182" t="n"/>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B44" s="62" t="n"/>
      <c r="C44" s="62" t="n"/>
      <c r="D44" s="166" t="n"/>
      <c r="E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62" t="n"/>
      <c r="C45" s="62" t="n"/>
      <c r="D45" s="166" t="n"/>
      <c r="F45" s="176" t="n"/>
      <c r="BM45" s="182" t="n"/>
    </row>
    <row r="46" ht="14" customHeight="1" s="304">
      <c r="B46" s="62" t="n"/>
      <c r="C46" s="62" t="n"/>
      <c r="D46" s="166" t="n"/>
      <c r="F46" s="176" t="n"/>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49"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498" t="n"/>
      <c r="E49" s="45" t="n"/>
      <c r="G49" s="499" t="n"/>
    </row>
    <row r="50" ht="14" customHeight="1" s="304">
      <c r="B50" s="45" t="n"/>
      <c r="C50" s="500" t="n"/>
      <c r="D50" s="498" t="n"/>
      <c r="E50" s="45" t="n"/>
      <c r="G50" s="499" t="n"/>
    </row>
    <row r="51" ht="14" customHeight="1" s="304">
      <c r="B51" s="45" t="n"/>
      <c r="C51" s="500" t="n"/>
      <c r="D51" s="498" t="n"/>
      <c r="E51" s="45" t="n"/>
      <c r="G51" s="499" t="n"/>
    </row>
    <row r="52" ht="14" customHeight="1" s="304">
      <c r="B52" s="45" t="n"/>
      <c r="C52" s="500" t="n"/>
      <c r="D52" s="498" t="n"/>
      <c r="E52" s="45" t="n"/>
      <c r="F52" s="62" t="n"/>
      <c r="G52" s="499" t="n"/>
    </row>
    <row r="53" ht="14" customHeight="1" s="304">
      <c r="B53" s="45" t="n"/>
      <c r="C53" s="500" t="n"/>
      <c r="D53" s="498" t="n"/>
      <c r="E53" s="45" t="n"/>
      <c r="F53" s="62" t="n"/>
      <c r="G53" s="499" t="n"/>
    </row>
    <row r="54" ht="14" customHeight="1" s="304">
      <c r="B54" s="45" t="n"/>
      <c r="C54" s="500" t="n"/>
      <c r="D54" s="498" t="n"/>
      <c r="E54" s="45" t="n"/>
      <c r="F54" s="62" t="n"/>
      <c r="G54" s="499" t="n"/>
    </row>
    <row r="55" ht="14" customHeight="1" s="304">
      <c r="B55" s="45" t="n"/>
      <c r="C55" s="500" t="n"/>
      <c r="D55" s="498" t="n"/>
      <c r="E55" s="45" t="n"/>
      <c r="F55" s="62" t="n"/>
      <c r="G55" s="499" t="n"/>
    </row>
    <row r="56" ht="14" customHeight="1" s="304">
      <c r="B56" s="45" t="n"/>
      <c r="C56" s="500" t="n"/>
      <c r="D56" s="498" t="n"/>
      <c r="E56" s="45" t="n"/>
      <c r="G56" s="499" t="n"/>
    </row>
    <row r="57" ht="14" customHeight="1" s="304">
      <c r="B57" s="45" t="n"/>
      <c r="C57" s="500" t="n"/>
      <c r="D57" s="498" t="n"/>
      <c r="E57" s="45" t="n"/>
      <c r="F57" s="176" t="n"/>
      <c r="G57" s="509" t="n"/>
      <c r="H57" s="176" t="n"/>
    </row>
    <row r="58" ht="14" customHeight="1" s="304">
      <c r="B58" s="45" t="n"/>
      <c r="C58" s="500" t="n"/>
      <c r="D58" s="498" t="n"/>
      <c r="E58" s="45" t="n"/>
      <c r="G58" s="499" t="n"/>
    </row>
    <row r="59" ht="14" customHeight="1" s="304">
      <c r="B59" s="62" t="n"/>
      <c r="C59" s="498" t="n"/>
      <c r="D59" s="529" t="n"/>
      <c r="G59" s="499" t="n"/>
    </row>
    <row r="60" ht="14" customHeight="1" s="304">
      <c r="B60" s="62" t="n"/>
      <c r="C60" s="501" t="n"/>
      <c r="D60" s="502" t="n"/>
      <c r="F60" s="62" t="n"/>
      <c r="G60" s="506" t="n"/>
    </row>
    <row r="61" ht="14" customHeight="1" s="304">
      <c r="B61" s="62" t="n"/>
      <c r="C61" s="501" t="n"/>
      <c r="D61" s="502" t="n"/>
      <c r="F61" s="62" t="n"/>
      <c r="G61" s="506" t="n"/>
      <c r="H61" s="166" t="n"/>
    </row>
    <row r="62" ht="14" customHeight="1" s="304">
      <c r="B62" s="62" t="n"/>
      <c r="C62" s="501" t="n"/>
      <c r="D62" s="498" t="n"/>
      <c r="G62" s="499" t="n"/>
    </row>
    <row r="63" ht="14" customHeight="1" s="304">
      <c r="B63" s="62" t="n"/>
      <c r="C63" s="501" t="n"/>
      <c r="D63" s="502" t="n"/>
      <c r="G63" s="499" t="n"/>
    </row>
    <row r="64" ht="14" customHeight="1" s="304">
      <c r="B64" s="176" t="n"/>
      <c r="C64" s="503" t="n"/>
      <c r="D64" s="503" t="n"/>
      <c r="G64" s="499" t="n"/>
    </row>
    <row r="65">
      <c r="C65" s="502" t="n"/>
      <c r="D65" s="502" t="n"/>
      <c r="G65" s="499" t="n"/>
    </row>
    <row r="66">
      <c r="C66" s="502" t="n"/>
      <c r="D66" s="502" t="n"/>
      <c r="G66" s="499" t="n"/>
    </row>
    <row r="67" ht="14" customHeight="1" s="304">
      <c r="B67" s="62" t="n"/>
      <c r="C67" s="498" t="n"/>
      <c r="D67" s="502" t="n"/>
      <c r="G67" s="499" t="n"/>
    </row>
    <row r="68" ht="14" customHeight="1" s="304">
      <c r="B68" s="62" t="n"/>
      <c r="C68" s="498" t="n"/>
      <c r="D68" s="503" t="n"/>
      <c r="G68" s="499" t="n"/>
    </row>
    <row r="69" ht="14" customHeight="1" s="304">
      <c r="B69" s="176" t="n"/>
      <c r="C69" s="503" t="n"/>
      <c r="D69" s="503" t="n"/>
      <c r="G69" s="499" t="n"/>
    </row>
    <row r="70">
      <c r="C70" s="502" t="n"/>
      <c r="D70" s="502" t="n"/>
      <c r="G70" s="499" t="n"/>
    </row>
    <row r="71">
      <c r="C71" s="502" t="n"/>
      <c r="D71" s="502" t="n"/>
      <c r="G71" s="499" t="n"/>
    </row>
    <row r="72" ht="14" customHeight="1" s="304">
      <c r="B72" s="62" t="n"/>
      <c r="C72" s="498" t="n"/>
      <c r="D72" s="502" t="n"/>
      <c r="G72" s="499" t="n"/>
    </row>
    <row r="73" ht="14" customHeight="1" s="304">
      <c r="B73" s="62" t="n"/>
      <c r="C73" s="498" t="n"/>
      <c r="D73" s="503" t="n"/>
      <c r="G73" s="499" t="n"/>
    </row>
    <row r="74">
      <c r="C74" s="502" t="n"/>
      <c r="D74" s="502" t="n"/>
      <c r="G74" s="499" t="n"/>
    </row>
    <row r="75">
      <c r="C75" s="502" t="n"/>
      <c r="D75" s="502" t="n"/>
      <c r="G75" s="499" t="n"/>
    </row>
    <row r="76" ht="15" customHeight="1" s="304">
      <c r="B76" s="249" t="n"/>
      <c r="C76" s="530" t="n"/>
      <c r="D76" s="530" t="n"/>
      <c r="E76" s="414" t="n"/>
      <c r="F76" s="249" t="n"/>
      <c r="G76" s="531" t="n"/>
    </row>
    <row r="77" ht="14" customHeight="1" s="304">
      <c r="B77" s="437" t="n"/>
      <c r="C77" s="502" t="n"/>
      <c r="D77" s="502" t="n"/>
      <c r="E77" s="438" t="n"/>
      <c r="G77" s="499" t="n"/>
    </row>
    <row r="78" ht="14" customHeight="1" s="304">
      <c r="B78" s="437" t="n"/>
      <c r="C78" s="502" t="n"/>
      <c r="D78" s="502" t="n"/>
      <c r="E78" s="438" t="n"/>
      <c r="G78" s="499" t="n"/>
      <c r="I78" s="176" t="n"/>
      <c r="J78" s="176" t="n"/>
      <c r="K78" s="176" t="n"/>
    </row>
    <row r="79" ht="14" customHeight="1" s="304">
      <c r="B79" s="437" t="n"/>
      <c r="C79" s="502" t="n"/>
      <c r="D79" s="502" t="n"/>
      <c r="E79" s="438" t="n"/>
      <c r="G79" s="532" t="n"/>
    </row>
    <row r="80" ht="14" customHeight="1" s="304">
      <c r="B80" s="437" t="n"/>
      <c r="C80" s="502" t="n"/>
      <c r="D80" s="502" t="n"/>
      <c r="E80" s="438" t="n"/>
      <c r="G80" s="499" t="n"/>
    </row>
    <row r="81" ht="14" customHeight="1" s="304">
      <c r="B81" s="437" t="n"/>
      <c r="C81" s="502" t="n"/>
      <c r="D81" s="502" t="n"/>
      <c r="E81" s="438" t="n"/>
      <c r="G81" s="532" t="n"/>
      <c r="I81" s="62" t="n"/>
      <c r="J81" s="62" t="n"/>
    </row>
    <row r="82" ht="14" customHeight="1" s="304">
      <c r="B82" s="437" t="n"/>
      <c r="C82" s="502" t="n"/>
      <c r="D82" s="502" t="n"/>
      <c r="E82" s="438" t="n"/>
      <c r="G82" s="532" t="n"/>
      <c r="I82" s="62" t="n"/>
      <c r="J82" s="62" t="n"/>
      <c r="K82" s="166" t="n"/>
    </row>
    <row r="83" ht="14" customHeight="1" s="304">
      <c r="B83" s="437" t="n"/>
      <c r="C83" s="502" t="n"/>
      <c r="D83" s="502" t="n"/>
      <c r="E83" s="438" t="n"/>
      <c r="G83" s="532" t="n"/>
    </row>
    <row r="84" ht="14" customHeight="1" s="304">
      <c r="B84" s="437" t="n"/>
      <c r="C84" s="502" t="n"/>
      <c r="D84" s="502" t="n"/>
      <c r="E84" s="438" t="n"/>
      <c r="G84" s="499" t="n"/>
      <c r="I84" s="176" t="n"/>
      <c r="J84" s="176" t="n"/>
      <c r="K84" s="176" t="n"/>
    </row>
    <row r="85" ht="14" customHeight="1" s="304">
      <c r="B85" s="437" t="n"/>
      <c r="C85" s="502" t="n"/>
      <c r="D85" s="502" t="n"/>
      <c r="E85" s="438" t="n"/>
      <c r="G85" s="499" t="n"/>
    </row>
    <row r="86" ht="14" customHeight="1" s="304">
      <c r="B86" s="437" t="n"/>
      <c r="C86" s="502" t="n"/>
      <c r="D86" s="502" t="n"/>
      <c r="E86" s="438" t="n"/>
      <c r="G86" s="499" t="n"/>
    </row>
    <row r="87" ht="14" customHeight="1" s="304">
      <c r="B87" s="437" t="n"/>
      <c r="C87" s="502" t="n"/>
      <c r="D87" s="502" t="n"/>
      <c r="E87" s="438" t="n"/>
      <c r="G87" s="499" t="n"/>
      <c r="I87" s="62" t="n"/>
      <c r="J87" s="62" t="n"/>
    </row>
    <row r="88" ht="14" customHeight="1" s="304">
      <c r="B88" s="437" t="n"/>
      <c r="C88" s="502" t="n"/>
      <c r="D88" s="502" t="n"/>
      <c r="E88" s="438" t="n"/>
      <c r="G88" s="499" t="n"/>
      <c r="I88" s="62" t="n"/>
      <c r="J88" s="62" t="n"/>
      <c r="K88" s="166" t="n"/>
    </row>
    <row r="89" ht="14" customHeight="1" s="304">
      <c r="B89" s="437" t="n"/>
      <c r="C89" s="502" t="n"/>
      <c r="D89" s="502" t="n"/>
      <c r="E89" s="438" t="n"/>
      <c r="G89" s="499" t="n"/>
    </row>
    <row r="90" ht="14" customHeight="1" s="304">
      <c r="B90" s="176" t="n"/>
      <c r="C90" s="503" t="n"/>
      <c r="D90" s="503" t="n"/>
      <c r="E90" s="438" t="n"/>
      <c r="G90" s="499" t="n"/>
    </row>
    <row r="91" ht="14" customHeight="1" s="304">
      <c r="C91" s="502" t="n"/>
      <c r="D91" s="503" t="n"/>
      <c r="E91" s="176" t="n"/>
      <c r="F91" s="176" t="n"/>
      <c r="G91" s="509" t="n"/>
      <c r="H91" s="176" t="n"/>
      <c r="I91" s="176" t="n"/>
    </row>
    <row r="92">
      <c r="C92" s="502" t="n"/>
      <c r="D92" s="502" t="n"/>
      <c r="G92" s="499" t="n"/>
    </row>
    <row r="93" ht="14" customHeight="1" s="304">
      <c r="B93" s="62" t="n"/>
      <c r="C93" s="498" t="n"/>
      <c r="D93" s="502" t="n"/>
      <c r="G93" s="499" t="n"/>
    </row>
    <row r="94" ht="14" customHeight="1" s="304">
      <c r="B94" s="62" t="n"/>
      <c r="C94" s="498" t="n"/>
      <c r="D94" s="498" t="n"/>
      <c r="E94" s="62" t="n"/>
      <c r="G94" s="506" t="n"/>
      <c r="H94" s="62" t="n"/>
    </row>
    <row r="95" ht="15" customHeight="1" s="304">
      <c r="C95" s="530" t="n"/>
      <c r="D95" s="498" t="n"/>
      <c r="E95" s="62" t="n"/>
      <c r="F95" s="166" t="n"/>
      <c r="G95" s="506" t="n"/>
      <c r="H95" s="62" t="n"/>
      <c r="I95" s="166" t="n"/>
    </row>
    <row r="96" ht="15" customHeight="1" s="304">
      <c r="C96" s="530" t="n"/>
      <c r="D96" s="502" t="n"/>
      <c r="E96" s="414" t="n"/>
      <c r="F96" s="176" t="n"/>
      <c r="G96" s="509" t="n"/>
      <c r="H96" s="176" t="n"/>
    </row>
    <row r="97" ht="14" customHeight="1" s="304">
      <c r="C97" s="503" t="n"/>
      <c r="D97" s="503" t="n"/>
      <c r="E97" s="176" t="n"/>
      <c r="G97" s="499" t="n"/>
    </row>
    <row r="98">
      <c r="C98" s="502" t="n"/>
      <c r="D98" s="502" t="n"/>
      <c r="G98" s="499" t="n"/>
    </row>
    <row r="99" ht="14" customHeight="1" s="304">
      <c r="C99" s="502" t="n"/>
      <c r="D99" s="502" t="n"/>
      <c r="F99" s="62" t="n"/>
      <c r="G99" s="506" t="n"/>
    </row>
    <row r="100" ht="14" customHeight="1" s="304">
      <c r="C100" s="498" t="n"/>
      <c r="D100" s="498" t="n"/>
      <c r="F100" s="62" t="n"/>
      <c r="G100" s="506" t="n"/>
      <c r="H100" s="166" t="n"/>
    </row>
    <row r="101" ht="14" customHeight="1" s="304">
      <c r="C101" s="498" t="n"/>
      <c r="D101" s="498" t="n"/>
      <c r="E101" s="166" t="n"/>
      <c r="G101" s="499" t="n"/>
    </row>
    <row r="102" ht="14" customHeight="1" s="304">
      <c r="C102" s="502" t="n"/>
      <c r="D102" s="498" t="n"/>
      <c r="E102" s="62" t="n"/>
      <c r="F102" s="166" t="n"/>
      <c r="G102" s="499" t="n"/>
    </row>
    <row r="103" ht="14" customHeight="1" s="304">
      <c r="C103" s="502" t="n"/>
      <c r="D103" s="533" t="n"/>
      <c r="E103" s="438"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B47:I47"/>
    <mergeCell ref="B150:I150"/>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AB3:AC3"/>
    <mergeCell ref="AR4:AS4"/>
    <mergeCell ref="X3:Y3"/>
    <mergeCell ref="I22:I27"/>
    <mergeCell ref="AT4:AU4"/>
    <mergeCell ref="AZ4:BA4"/>
    <mergeCell ref="Z3:AA3"/>
    <mergeCell ref="AV4:AW4"/>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55 A57:A73 A74:XFD77 A78:H82 A83:XFD83 A84:H88 A89:XFD89 A90:A94 A95:C95 A96:E96 A97:B101 A102:C102 A103:XFD65527 B5:H5 B35:E40 C62:E63 E20:G21 E23:E24 E25:F26 E27:E34 E67:XFD69 E68:F72 E71:XFD73 F6:G14 F17:G17 F40:G40 F47:XFD48 F62:G65 G41:G44 G45:XFD46 G49:XFD49 G52:XFD55 G70:XFD70 H6:H44 H62:XFD66 I2 I5:I6 I9 I42:I44 I57:XFD61 I96:XFD100 J5:BS16 J91:XFD95 L78:XFD82 L84:XFD88 BT1:IV44">
    <cfRule type="cellIs" priority="739" operator="equal" dxfId="0" stopIfTrue="1">
      <formula>"Sun"</formula>
    </cfRule>
  </conditionalFormatting>
  <conditionalFormatting sqref="A1:H2 A3:I4 A5:A55 A57:A73 A74:XFD77 A78:H82 A83:XFD83 A84:H88 A89:XFD89 A90:A94 A95:C95 A96:E96 A97:B101 A102:C102 A103:XFD65527 B5:H5 B35:E40 C62:E63 E20:G21 E23:E24 E25:F26 E27:E34 E67:XFD69 E68:F72 E71:XFD73 F6:G14 F17:G17 F40:G40 F47:XFD48 F62:G65 G41:G44 G45:XFD46 G49:XFD49 G52:XFD55 G70:XFD70 H6:H44 H62:XFD66 I2 I5:I6 I9 I57:XFD61 I96:XFD100 J5:BS16 J91:XFD95 L78:XFD82 L84:XFD88 BT1:IV44">
    <cfRule type="cellIs" priority="738" operator="equal" dxfId="5" stopIfTrue="1">
      <formula>"Sat"</formula>
    </cfRule>
  </conditionalFormatting>
  <conditionalFormatting sqref="B18:B32">
    <cfRule type="cellIs" priority="54" operator="equal" dxfId="5" stopIfTrue="1">
      <formula>"Sat"</formula>
    </cfRule>
    <cfRule type="cellIs" priority="55" operator="equal" dxfId="0" stopIfTrue="1">
      <formula>"Sun"</formula>
    </cfRule>
  </conditionalFormatting>
  <conditionalFormatting sqref="B33:D34">
    <cfRule type="cellIs" priority="126" operator="equal" dxfId="5" stopIfTrue="1">
      <formula>"Sat"</formula>
    </cfRule>
    <cfRule type="cellIs" priority="127" operator="equal" dxfId="0" stopIfTrue="1">
      <formula>"Sun"</formula>
    </cfRule>
  </conditionalFormatting>
  <conditionalFormatting sqref="B69:D71 D72:D73">
    <cfRule type="cellIs" priority="557" operator="equal" dxfId="0" stopIfTrue="1">
      <formula>"Sun"</formula>
    </cfRule>
    <cfRule type="cellIs" priority="556" operator="equal" dxfId="5" stopIfTrue="1">
      <formula>"Sat"</formula>
    </cfRule>
  </conditionalFormatting>
  <conditionalFormatting sqref="B6:E17">
    <cfRule type="cellIs" priority="579" operator="equal" dxfId="0" stopIfTrue="1">
      <formula>"Sun"</formula>
    </cfRule>
    <cfRule type="cellIs" priority="578" operator="equal" dxfId="5" stopIfTrue="1">
      <formula>"Sat"</formula>
    </cfRule>
  </conditionalFormatting>
  <conditionalFormatting sqref="B64:E66 D67:D68">
    <cfRule type="cellIs" priority="559" operator="equal" dxfId="0" stopIfTrue="1">
      <formula>"Sun"</formula>
    </cfRule>
    <cfRule type="cellIs" priority="558" operator="equal" dxfId="5" stopIfTrue="1">
      <formula>"Sat"</formula>
    </cfRule>
  </conditionalFormatting>
  <conditionalFormatting sqref="B90:XFD90 B91:C92">
    <cfRule type="cellIs" priority="572" operator="equal" dxfId="5" stopIfTrue="1">
      <formula>"Sat"</formula>
    </cfRule>
    <cfRule type="cellIs" priority="573" operator="equal" dxfId="0" stopIfTrue="1">
      <formula>"Sun"</formula>
    </cfRule>
  </conditionalFormatting>
  <conditionalFormatting sqref="C27">
    <cfRule type="cellIs" priority="33" operator="equal" dxfId="5" stopIfTrue="1">
      <formula>"Sat"</formula>
    </cfRule>
    <cfRule type="cellIs" priority="34" operator="equal" dxfId="0" stopIfTrue="1">
      <formula>"Sun"</formula>
    </cfRule>
  </conditionalFormatting>
  <conditionalFormatting sqref="C29:C30">
    <cfRule type="cellIs" priority="21" operator="equal" dxfId="5" stopIfTrue="1">
      <formula>"Sat"</formula>
    </cfRule>
    <cfRule type="cellIs" priority="22" operator="equal" dxfId="0" stopIfTrue="1">
      <formula>"Sun"</formula>
    </cfRule>
  </conditionalFormatting>
  <conditionalFormatting sqref="C21:D21">
    <cfRule type="cellIs" priority="27" operator="equal" dxfId="5" stopIfTrue="1">
      <formula>"Sat"</formula>
    </cfRule>
    <cfRule type="cellIs" priority="28" operator="equal" dxfId="0" stopIfTrue="1">
      <formula>"Sun"</formula>
    </cfRule>
  </conditionalFormatting>
  <conditionalFormatting sqref="C24:D24">
    <cfRule type="cellIs" priority="31" operator="equal" dxfId="5" stopIfTrue="1">
      <formula>"Sat"</formula>
    </cfRule>
    <cfRule type="cellIs" priority="32" operator="equal" dxfId="0" stopIfTrue="1">
      <formula>"Sun"</formula>
    </cfRule>
  </conditionalFormatting>
  <conditionalFormatting sqref="C26:D26">
    <cfRule type="cellIs" priority="46" operator="equal" dxfId="0" stopIfTrue="1">
      <formula>"Sun"</formula>
    </cfRule>
    <cfRule type="cellIs" priority="45" operator="equal" dxfId="5" stopIfTrue="1">
      <formula>"Sat"</formula>
    </cfRule>
  </conditionalFormatting>
  <conditionalFormatting sqref="C31:D32">
    <cfRule type="cellIs" priority="47" operator="equal" dxfId="5" stopIfTrue="1">
      <formula>"Sat"</formula>
    </cfRule>
    <cfRule type="cellIs" priority="48" operator="equal" dxfId="0" stopIfTrue="1">
      <formula>"Sun"</formula>
    </cfRule>
  </conditionalFormatting>
  <conditionalFormatting sqref="C19:E19 D27:D28">
    <cfRule type="cellIs" priority="49" operator="equal" dxfId="5" stopIfTrue="1">
      <formula>"Sat"</formula>
    </cfRule>
    <cfRule type="cellIs" priority="50" operator="equal" dxfId="0" stopIfTrue="1">
      <formula>"Sun"</formula>
    </cfRule>
  </conditionalFormatting>
  <conditionalFormatting sqref="C97:E99 E100:E101">
    <cfRule type="cellIs" priority="564" operator="equal" dxfId="5" stopIfTrue="1">
      <formula>"Sat"</formula>
    </cfRule>
    <cfRule type="cellIs" priority="565" operator="equal" dxfId="0" stopIfTrue="1">
      <formula>"Sun"</formula>
    </cfRule>
  </conditionalFormatting>
  <conditionalFormatting sqref="C18:F18">
    <cfRule type="cellIs" priority="24" operator="equal" dxfId="0" stopIfTrue="1">
      <formula>"Sun"</formula>
    </cfRule>
    <cfRule type="cellIs" priority="23" operator="equal" dxfId="5" stopIfTrue="1">
      <formula>"Sat"</formula>
    </cfRule>
  </conditionalFormatting>
  <conditionalFormatting sqref="C22:F22">
    <cfRule type="cellIs" priority="35" operator="equal" dxfId="5" stopIfTrue="1">
      <formula>"Sat"</formula>
    </cfRule>
    <cfRule type="cellIs" priority="36" operator="equal" dxfId="0" stopIfTrue="1">
      <formula>"Sun"</formula>
    </cfRule>
  </conditionalFormatting>
  <conditionalFormatting sqref="D42:E47 F50:XFD51">
    <cfRule type="cellIs" priority="513" operator="equal" dxfId="0" stopIfTrue="1">
      <formula>"Sun"</formula>
    </cfRule>
    <cfRule type="cellIs" priority="512" operator="equal" dxfId="5" stopIfTrue="1">
      <formula>"Sat"</formula>
    </cfRule>
  </conditionalFormatting>
  <conditionalFormatting sqref="D41:F41">
    <cfRule type="cellIs" priority="515" operator="equal" dxfId="0" stopIfTrue="1">
      <formula>"Sun"</formula>
    </cfRule>
    <cfRule type="cellIs" priority="514" operator="equal" dxfId="5" stopIfTrue="1">
      <formula>"Sat"</formula>
    </cfRule>
  </conditionalFormatting>
  <conditionalFormatting sqref="D91:I93 I94:I95">
    <cfRule type="cellIs" priority="568" operator="equal" dxfId="5" stopIfTrue="1">
      <formula>"Sat"</formula>
    </cfRule>
    <cfRule type="cellIs" priority="569" operator="equal" dxfId="0" stopIfTrue="1">
      <formula>"Sun"</formula>
    </cfRule>
  </conditionalFormatting>
  <conditionalFormatting sqref="E59:E61">
    <cfRule type="cellIs" priority="20" operator="equal" dxfId="0" stopIfTrue="1">
      <formula>"Sun"</formula>
    </cfRule>
    <cfRule type="cellIs" priority="19" operator="equal" dxfId="5" stopIfTrue="1">
      <formula>"Sat"</formula>
    </cfRule>
  </conditionalFormatting>
  <conditionalFormatting sqref="F42:F46">
    <cfRule type="cellIs" priority="527" operator="equal" dxfId="0" stopIfTrue="1">
      <formula>"Sun"</formula>
    </cfRule>
    <cfRule type="cellIs" priority="526" operator="equal" dxfId="5" stopIfTrue="1">
      <formula>"Sat"</formula>
    </cfRule>
  </conditionalFormatting>
  <conditionalFormatting sqref="F94:F95">
    <cfRule type="cellIs" priority="571" operator="equal" dxfId="0" stopIfTrue="1">
      <formula>"Sun"</formula>
    </cfRule>
    <cfRule type="cellIs" priority="570" operator="equal" dxfId="5" stopIfTrue="1">
      <formula>"Sat"</formula>
    </cfRule>
  </conditionalFormatting>
  <conditionalFormatting sqref="F57:H59 H60:H61">
    <cfRule type="cellIs" priority="554" operator="equal" dxfId="5" stopIfTrue="1">
      <formula>"Sat"</formula>
    </cfRule>
    <cfRule type="cellIs" priority="555" operator="equal" dxfId="0" stopIfTrue="1">
      <formula>"Sun"</formula>
    </cfRule>
  </conditionalFormatting>
  <conditionalFormatting sqref="F96:H98 H99:H100">
    <cfRule type="cellIs" priority="567" operator="equal" dxfId="0" stopIfTrue="1">
      <formula>"Sun"</formula>
    </cfRule>
    <cfRule type="cellIs" priority="566" operator="equal" dxfId="5" stopIfTrue="1">
      <formula>"Sat"</formula>
    </cfRule>
  </conditionalFormatting>
  <conditionalFormatting sqref="F101:XFD102">
    <cfRule type="cellIs" priority="575" operator="equal" dxfId="0" stopIfTrue="1">
      <formula>"Sun"</formula>
    </cfRule>
    <cfRule type="cellIs" priority="574" operator="equal" dxfId="5" stopIfTrue="1">
      <formula>"Sat"</formula>
    </cfRule>
  </conditionalFormatting>
  <conditionalFormatting sqref="I20:I37">
    <cfRule type="cellIs" priority="699" operator="equal" dxfId="0" stopIfTrue="1">
      <formula>"Sun"</formula>
    </cfRule>
    <cfRule type="cellIs" priority="698" operator="equal" dxfId="5" stopIfTrue="1">
      <formula>"Sat"</formula>
    </cfRule>
  </conditionalFormatting>
  <conditionalFormatting sqref="I78:K80 K81:K82">
    <cfRule type="cellIs" priority="561" operator="equal" dxfId="0" stopIfTrue="1">
      <formula>"Sun"</formula>
    </cfRule>
    <cfRule type="cellIs" priority="560" operator="equal" dxfId="5" stopIfTrue="1">
      <formula>"Sat"</formula>
    </cfRule>
  </conditionalFormatting>
  <conditionalFormatting sqref="I84:K86 K87:K88">
    <cfRule type="cellIs" priority="563" operator="equal" dxfId="0" stopIfTrue="1">
      <formula>"Sun"</formula>
    </cfRule>
    <cfRule type="cellIs" priority="562" operator="equal" dxfId="5" stopIfTrue="1">
      <formula>"Sat"</formula>
    </cfRule>
  </conditionalFormatting>
  <conditionalFormatting sqref="I17:BS17">
    <cfRule type="cellIs" priority="12" operator="equal" dxfId="0" stopIfTrue="1">
      <formula>"Sun"</formula>
    </cfRule>
    <cfRule type="cellIs" priority="11" operator="equal" dxfId="5" stopIfTrue="1">
      <formula>"Sat"</formula>
    </cfRule>
  </conditionalFormatting>
  <conditionalFormatting sqref="I42:BS44">
    <cfRule type="cellIs" priority="172" operator="equal" dxfId="5" stopIfTrue="1">
      <formula>"Sat"</formula>
    </cfRule>
  </conditionalFormatting>
  <conditionalFormatting sqref="J37:O40">
    <cfRule type="cellIs" priority="5" operator="equal" dxfId="5" stopIfTrue="1">
      <formula>"Sat"</formula>
    </cfRule>
    <cfRule type="cellIs" priority="6" operator="equal" dxfId="0" stopIfTrue="1">
      <formula>"Sun"</formula>
    </cfRule>
  </conditionalFormatting>
  <conditionalFormatting sqref="J22:AO26">
    <cfRule type="cellIs" priority="88" operator="equal" dxfId="5" stopIfTrue="1">
      <formula>"Sat"</formula>
    </cfRule>
    <cfRule type="cellIs" priority="89" operator="equal" dxfId="0" stopIfTrue="1">
      <formula>"Sun"</formula>
    </cfRule>
  </conditionalFormatting>
  <conditionalFormatting sqref="J27:BR36">
    <cfRule type="cellIs" priority="1" operator="equal" dxfId="5" stopIfTrue="1">
      <formula>"Sat"</formula>
    </cfRule>
    <cfRule type="cellIs" priority="2" operator="equal" dxfId="0" stopIfTrue="1">
      <formula>"Sun"</formula>
    </cfRule>
  </conditionalFormatting>
  <conditionalFormatting sqref="J18:BS21">
    <cfRule type="cellIs" priority="9" operator="equal" dxfId="5" stopIfTrue="1">
      <formula>"Sat"</formula>
    </cfRule>
    <cfRule type="cellIs" priority="10" operator="equal" dxfId="0" stopIfTrue="1">
      <formula>"Sun"</formula>
    </cfRule>
  </conditionalFormatting>
  <conditionalFormatting sqref="J41:BS44 P39:BS40">
    <cfRule type="cellIs" priority="173" operator="equal" dxfId="0" stopIfTrue="1">
      <formula>"Sun"</formula>
    </cfRule>
  </conditionalFormatting>
  <conditionalFormatting sqref="P37:BS38">
    <cfRule type="cellIs" priority="16" operator="equal" dxfId="0" stopIfTrue="1">
      <formula>"Sun"</formula>
    </cfRule>
    <cfRule type="cellIs" priority="15" operator="equal" dxfId="5" stopIfTrue="1">
      <formula>"Sat"</formula>
    </cfRule>
  </conditionalFormatting>
  <conditionalFormatting sqref="J41:BS41 P39:BS40">
    <cfRule type="cellIs" priority="56" operator="equal" dxfId="5" stopIfTrue="1">
      <formula>"Sat"</formula>
    </cfRule>
  </conditionalFormatting>
  <conditionalFormatting sqref="R39:S39">
    <cfRule type="cellIs" priority="51" operator="equal" dxfId="0" stopIfTrue="1">
      <formula>"Sun"</formula>
    </cfRule>
  </conditionalFormatting>
  <conditionalFormatting sqref="AP23:BR26">
    <cfRule type="cellIs" priority="4" operator="equal" dxfId="0" stopIfTrue="1">
      <formula>"Sun"</formula>
    </cfRule>
    <cfRule type="cellIs" priority="3" operator="equal" dxfId="5" stopIfTrue="1">
      <formula>"Sat"</formula>
    </cfRule>
  </conditionalFormatting>
  <conditionalFormatting sqref="AP22:BS22">
    <cfRule type="cellIs" priority="169" operator="equal" dxfId="0" stopIfTrue="1">
      <formula>"Sun"</formula>
    </cfRule>
    <cfRule type="cellIs" priority="168" operator="equal" dxfId="5" stopIfTrue="1">
      <formula>"Sat"</formula>
    </cfRule>
  </conditionalFormatting>
  <conditionalFormatting sqref="BS23:BS36">
    <cfRule type="cellIs" priority="182" operator="equal" dxfId="5" stopIfTrue="1">
      <formula>"Sat"</formula>
    </cfRule>
    <cfRule type="cellIs" priority="183"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3.xml><?xml version="1.0" encoding="utf-8"?>
<worksheet xmlns="http://schemas.openxmlformats.org/spreadsheetml/2006/main">
  <sheetPr>
    <tabColor indexed="44"/>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BJ17" sqref="BJ17"/>
    </sheetView>
  </sheetViews>
  <sheetFormatPr baseColWidth="8" defaultColWidth="8.90625" defaultRowHeight="13.5"/>
  <cols>
    <col width="1.08984375" customWidth="1" style="1" min="1" max="1"/>
    <col width="27" customWidth="1" style="1" min="2" max="2"/>
    <col width="12.63281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1.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6"/>
    <col width="11" bestFit="1" customWidth="1" style="1" min="37" max="37"/>
    <col width="8.90625" customWidth="1" style="1" min="38" max="38"/>
    <col width="11" bestFit="1" customWidth="1" style="1" min="39" max="39"/>
    <col width="8.90625" customWidth="1" style="1" min="40" max="48"/>
    <col width="11.6328125" bestFit="1" customWidth="1" style="1" min="49" max="49"/>
    <col width="8.90625" customWidth="1" style="1" min="50" max="50"/>
    <col width="11.6328125" bestFit="1" customWidth="1" style="1" min="51" max="51"/>
    <col width="8.90625" customWidth="1" style="1" min="52" max="56"/>
    <col width="11.6328125" bestFit="1" customWidth="1" style="1" min="57" max="57"/>
    <col width="8.90625" customWidth="1" style="1" min="58" max="69"/>
    <col width="10.08984375" customWidth="1" style="1" min="70" max="70"/>
    <col width="12.6328125" bestFit="1" customWidth="1" style="1" min="71" max="71"/>
    <col width="9.36328125" bestFit="1" customWidth="1" style="1" min="72" max="72"/>
    <col width="8.90625" customWidth="1" style="1" min="73" max="73"/>
    <col width="8.90625" customWidth="1" style="1" min="74"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12</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1" t="n"/>
      <c r="U20" s="479"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c r="BT20" s="439"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F18+Nov!F22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69"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2"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71"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69"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69"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2"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93"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69"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69"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J46" s="182" t="n"/>
      <c r="K46" s="182" t="n"/>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49"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61" t="n"/>
      <c r="C49" s="500" t="n"/>
      <c r="D49" s="498" t="n"/>
      <c r="E49" s="45" t="n"/>
      <c r="F49" s="62" t="n"/>
      <c r="G49" s="499" t="n"/>
    </row>
    <row r="50" ht="14" customHeight="1" s="304">
      <c r="B50" s="61" t="n"/>
      <c r="C50" s="500" t="n"/>
      <c r="D50" s="498" t="n"/>
      <c r="E50" s="45" t="n"/>
      <c r="F50" s="62" t="n"/>
      <c r="G50" s="499" t="n"/>
    </row>
    <row r="51" ht="14" customHeight="1" s="304">
      <c r="B51" s="61" t="n"/>
      <c r="C51" s="500" t="n"/>
      <c r="D51" s="498" t="n"/>
      <c r="E51" s="45" t="n"/>
      <c r="F51" s="62" t="n"/>
      <c r="G51" s="499" t="n"/>
    </row>
    <row r="52" ht="14" customHeight="1" s="304">
      <c r="B52" s="61" t="n"/>
      <c r="C52" s="500" t="n"/>
      <c r="D52" s="498" t="n"/>
      <c r="E52" s="45" t="n"/>
      <c r="F52" s="62" t="n"/>
      <c r="G52" s="499" t="n"/>
    </row>
    <row r="53" ht="14" customHeight="1" s="304">
      <c r="B53" s="61" t="n"/>
      <c r="C53" s="500" t="n"/>
      <c r="D53" s="498" t="n"/>
      <c r="E53" s="45" t="n"/>
      <c r="F53" s="62" t="n"/>
      <c r="G53" s="499" t="n"/>
    </row>
    <row r="54" ht="14" customHeight="1" s="304">
      <c r="B54" s="61" t="n"/>
      <c r="C54" s="500" t="n"/>
      <c r="D54" s="498" t="n"/>
      <c r="E54" s="45" t="n"/>
      <c r="F54" s="62" t="n"/>
      <c r="G54" s="499" t="n"/>
    </row>
    <row r="55" ht="14" customHeight="1" s="304">
      <c r="B55" s="61" t="n"/>
      <c r="C55" s="500" t="n"/>
      <c r="D55" s="498" t="n"/>
      <c r="E55" s="45" t="n"/>
      <c r="F55" s="62" t="n"/>
      <c r="G55" s="499" t="n"/>
    </row>
    <row r="56" ht="14" customHeight="1" s="304">
      <c r="B56" s="61" t="n"/>
      <c r="C56" s="500" t="n"/>
      <c r="D56" s="498" t="n"/>
      <c r="E56" s="45" t="n"/>
      <c r="F56" s="62" t="n"/>
      <c r="G56" s="499" t="n"/>
    </row>
    <row r="57" ht="14" customHeight="1" s="304">
      <c r="B57" s="61" t="n"/>
      <c r="C57" s="500" t="n"/>
      <c r="D57" s="498" t="n"/>
      <c r="E57" s="45" t="n"/>
      <c r="F57" s="62" t="n"/>
      <c r="G57" s="499" t="n"/>
    </row>
    <row r="58" ht="14" customHeight="1" s="304">
      <c r="B58" s="61" t="n"/>
      <c r="C58" s="500" t="n"/>
      <c r="D58" s="498" t="n"/>
      <c r="E58" s="45" t="n"/>
      <c r="F58" s="62" t="n"/>
      <c r="G58" s="499" t="n"/>
    </row>
    <row r="59" ht="14" customHeight="1" s="304">
      <c r="B59" s="62" t="n"/>
      <c r="C59" s="498" t="n"/>
      <c r="D59" s="529" t="n"/>
      <c r="F59" s="62" t="n"/>
      <c r="G59" s="499" t="n"/>
    </row>
    <row r="60" ht="14" customHeight="1" s="304">
      <c r="B60" s="62" t="n"/>
      <c r="C60" s="498" t="n"/>
      <c r="D60" s="498" t="n"/>
      <c r="E60" s="62" t="n"/>
      <c r="F60" s="62" t="n"/>
      <c r="G60" s="499" t="n"/>
    </row>
    <row r="61" ht="14" customHeight="1" s="304">
      <c r="B61" s="62" t="n"/>
      <c r="C61" s="498" t="n"/>
      <c r="D61" s="498" t="n"/>
      <c r="E61" s="62" t="n"/>
      <c r="F61" s="62" t="n"/>
      <c r="G61" s="499" t="n"/>
    </row>
    <row r="62" ht="14" customHeight="1" s="304">
      <c r="B62" s="62" t="n"/>
      <c r="C62" s="498" t="n"/>
      <c r="D62" s="498" t="n"/>
      <c r="E62" s="62" t="n"/>
      <c r="F62" s="62" t="n"/>
      <c r="G62" s="499" t="n"/>
    </row>
    <row r="63" ht="14" customHeight="1" s="304">
      <c r="B63" s="62" t="n"/>
      <c r="C63" s="498" t="n"/>
      <c r="D63" s="498" t="n"/>
      <c r="E63" s="62" t="n"/>
      <c r="F63" s="62" t="n"/>
      <c r="G63" s="499" t="n"/>
    </row>
    <row r="64" ht="14" customHeight="1" s="304">
      <c r="B64" s="62" t="n"/>
      <c r="C64" s="498" t="n"/>
      <c r="D64" s="498" t="n"/>
      <c r="E64" s="62" t="n"/>
      <c r="F64" s="62" t="n"/>
      <c r="G64" s="499" t="n"/>
    </row>
    <row r="65" ht="14" customHeight="1" s="304">
      <c r="B65" s="62" t="n"/>
      <c r="C65" s="498" t="n"/>
      <c r="D65" s="498" t="n"/>
      <c r="E65" s="62" t="n"/>
      <c r="F65" s="62" t="n"/>
      <c r="G65" s="499" t="n"/>
    </row>
    <row r="66" ht="14" customHeight="1" s="304">
      <c r="B66" s="62" t="n"/>
      <c r="C66" s="498" t="n"/>
      <c r="D66" s="498" t="n"/>
      <c r="E66" s="62" t="n"/>
      <c r="F66" s="62" t="n"/>
      <c r="G66" s="499" t="n"/>
    </row>
    <row r="67" ht="14" customHeight="1" s="304">
      <c r="B67" s="62" t="n"/>
      <c r="C67" s="498" t="n"/>
      <c r="D67" s="498" t="n"/>
      <c r="E67" s="62" t="n"/>
      <c r="F67" s="62" t="n"/>
      <c r="G67" s="499" t="n"/>
    </row>
    <row r="68" ht="14" customHeight="1" s="304">
      <c r="B68" s="62" t="n"/>
      <c r="C68" s="498" t="n"/>
      <c r="D68" s="498" t="n"/>
      <c r="E68" s="62" t="n"/>
      <c r="F68" s="62" t="n"/>
      <c r="G68" s="499" t="n"/>
    </row>
    <row r="69">
      <c r="C69" s="502" t="n"/>
      <c r="D69" s="502" t="n"/>
      <c r="G69" s="499" t="n"/>
    </row>
    <row r="70">
      <c r="C70" s="502" t="n"/>
      <c r="D70" s="502" t="n"/>
      <c r="G70" s="499" t="n"/>
    </row>
    <row r="71">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c r="C76" s="502"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47:A68 G47:XFD68">
    <cfRule type="cellIs" priority="214" operator="equal" dxfId="5" stopIfTrue="1">
      <formula>"Sat"</formula>
    </cfRule>
    <cfRule type="cellIs" priority="215" operator="equal" dxfId="0" stopIfTrue="1">
      <formula>"Sun"</formula>
    </cfRule>
  </conditionalFormatting>
  <conditionalFormatting sqref="A1:H2 A3:I4 A5:A44 A45:XFD46 A69:XFD65535 B5:H5 B35:E44 E19:E24 E25:F26 E27:E34 F6:G14 F17:G17 F20:G21 F22 F40:G44 H6:H44 I2 I5:I6 I9 I17 I42:I44 J5:BS16 BT1:IV44">
    <cfRule type="cellIs" priority="633" operator="equal" dxfId="0" stopIfTrue="1">
      <formula>"Sun"</formula>
    </cfRule>
  </conditionalFormatting>
  <conditionalFormatting sqref="A1:H2 A3:I4 A5:A44 A45:XFD46 A69:XFD65535 B5:H5 B35:E44 E19:E24 E25:F26 E27:E34 F6:G14 F17:G17 F20:G21 F22 F40:G44 H6:H44 I2 I5:I6 I9 J5:BS16 BT1:IV44">
    <cfRule type="cellIs" priority="632" operator="equal" dxfId="5" stopIfTrue="1">
      <formula>"Sat"</formula>
    </cfRule>
  </conditionalFormatting>
  <conditionalFormatting sqref="B18:B32">
    <cfRule type="cellIs" priority="52" operator="equal" dxfId="0" stopIfTrue="1">
      <formula>"Sun"</formula>
    </cfRule>
    <cfRule type="cellIs" priority="51" operator="equal" dxfId="5" stopIfTrue="1">
      <formula>"Sat"</formula>
    </cfRule>
  </conditionalFormatting>
  <conditionalFormatting sqref="B33:D34">
    <cfRule type="cellIs" priority="127" operator="equal" dxfId="0" stopIfTrue="1">
      <formula>"Sun"</formula>
    </cfRule>
    <cfRule type="cellIs" priority="126" operator="equal" dxfId="5" stopIfTrue="1">
      <formula>"Sat"</formula>
    </cfRule>
  </conditionalFormatting>
  <conditionalFormatting sqref="B6:E17">
    <cfRule type="cellIs" priority="527" operator="equal" dxfId="0" stopIfTrue="1">
      <formula>"Sun"</formula>
    </cfRule>
    <cfRule type="cellIs" priority="526" operator="equal" dxfId="5" stopIfTrue="1">
      <formula>"Sat"</formula>
    </cfRule>
  </conditionalFormatting>
  <conditionalFormatting sqref="C27">
    <cfRule type="cellIs" priority="27" operator="equal" dxfId="5" stopIfTrue="1">
      <formula>"Sat"</formula>
    </cfRule>
    <cfRule type="cellIs" priority="28" operator="equal" dxfId="0" stopIfTrue="1">
      <formula>"Sun"</formula>
    </cfRule>
  </conditionalFormatting>
  <conditionalFormatting sqref="C29:C30">
    <cfRule type="cellIs" priority="15" operator="equal" dxfId="5" stopIfTrue="1">
      <formula>"Sat"</formula>
    </cfRule>
    <cfRule type="cellIs" priority="16" operator="equal" dxfId="0" stopIfTrue="1">
      <formula>"Sun"</formula>
    </cfRule>
  </conditionalFormatting>
  <conditionalFormatting sqref="C19:D19">
    <cfRule type="cellIs" priority="37" operator="equal" dxfId="5" stopIfTrue="1">
      <formula>"Sat"</formula>
    </cfRule>
    <cfRule type="cellIs" priority="38" operator="equal" dxfId="0" stopIfTrue="1">
      <formula>"Sun"</formula>
    </cfRule>
  </conditionalFormatting>
  <conditionalFormatting sqref="C21:D22">
    <cfRule type="cellIs" priority="21" operator="equal" dxfId="5" stopIfTrue="1">
      <formula>"Sat"</formula>
    </cfRule>
    <cfRule type="cellIs" priority="22"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26:D26">
    <cfRule type="cellIs" priority="39" operator="equal" dxfId="5" stopIfTrue="1">
      <formula>"Sat"</formula>
    </cfRule>
    <cfRule type="cellIs" priority="40" operator="equal" dxfId="0" stopIfTrue="1">
      <formula>"Sun"</formula>
    </cfRule>
  </conditionalFormatting>
  <conditionalFormatting sqref="C31:D32">
    <cfRule type="cellIs" priority="41" operator="equal" dxfId="5" stopIfTrue="1">
      <formula>"Sat"</formula>
    </cfRule>
    <cfRule type="cellIs" priority="42" operator="equal" dxfId="0" stopIfTrue="1">
      <formula>"Sun"</formula>
    </cfRule>
  </conditionalFormatting>
  <conditionalFormatting sqref="C18:F18">
    <cfRule type="cellIs" priority="18" operator="equal" dxfId="0" stopIfTrue="1">
      <formula>"Sun"</formula>
    </cfRule>
    <cfRule type="cellIs" priority="17" operator="equal" dxfId="5" stopIfTrue="1">
      <formula>"Sat"</formula>
    </cfRule>
  </conditionalFormatting>
  <conditionalFormatting sqref="D27:D28">
    <cfRule type="cellIs" priority="43" operator="equal" dxfId="5" stopIfTrue="1">
      <formula>"Sat"</formula>
    </cfRule>
    <cfRule type="cellIs" priority="44" operator="equal" dxfId="0" stopIfTrue="1">
      <formula>"Sun"</formula>
    </cfRule>
  </conditionalFormatting>
  <conditionalFormatting sqref="E59">
    <cfRule type="cellIs" priority="14" operator="equal" dxfId="0" stopIfTrue="1">
      <formula>"Sun"</formula>
    </cfRule>
    <cfRule type="cellIs" priority="13" operator="equal" dxfId="5" stopIfTrue="1">
      <formula>"Sat"</formula>
    </cfRule>
  </conditionalFormatting>
  <conditionalFormatting sqref="I20:I37">
    <cfRule type="cellIs" priority="596" operator="equal" dxfId="5" stopIfTrue="1">
      <formula>"Sat"</formula>
    </cfRule>
    <cfRule type="cellIs" priority="597" operator="equal" dxfId="0" stopIfTrue="1">
      <formula>"Sun"</formula>
    </cfRule>
  </conditionalFormatting>
  <conditionalFormatting sqref="I17:BS17">
    <cfRule type="cellIs" priority="6" operator="equal" dxfId="5" stopIfTrue="1">
      <formula>"Sat"</formula>
    </cfRule>
  </conditionalFormatting>
  <conditionalFormatting sqref="I42:BS44">
    <cfRule type="cellIs" priority="172" operator="equal" dxfId="5" stopIfTrue="1">
      <formula>"Sat"</formula>
    </cfRule>
  </conditionalFormatting>
  <conditionalFormatting sqref="J37:M40 J41:BS41">
    <cfRule type="cellIs" priority="55" operator="equal" dxfId="5" stopIfTrue="1">
      <formula>"Sat"</formula>
    </cfRule>
  </conditionalFormatting>
  <conditionalFormatting sqref="J37:M40">
    <cfRule type="cellIs" priority="56" operator="equal" dxfId="0" stopIfTrue="1">
      <formula>"Sun"</formula>
    </cfRule>
  </conditionalFormatting>
  <conditionalFormatting sqref="J32:Z32 J33:BR36 K32:L38">
    <cfRule type="cellIs" priority="54" operator="equal" dxfId="0" stopIfTrue="1">
      <formula>"Sun"</formula>
    </cfRule>
  </conditionalFormatting>
  <conditionalFormatting sqref="J22:AO24">
    <cfRule type="cellIs" priority="12" operator="equal" dxfId="0" stopIfTrue="1">
      <formula>"Sun"</formula>
    </cfRule>
  </conditionalFormatting>
  <conditionalFormatting sqref="J25:AO26 S25:T31">
    <cfRule type="cellIs" priority="75" operator="equal" dxfId="0" stopIfTrue="1">
      <formula>"Sun"</formula>
    </cfRule>
  </conditionalFormatting>
  <conditionalFormatting sqref="J27:BR31">
    <cfRule type="cellIs" priority="10" operator="equal" dxfId="0" stopIfTrue="1">
      <formula>"Sun"</formula>
    </cfRule>
  </conditionalFormatting>
  <conditionalFormatting sqref="J17:BS21">
    <cfRule type="cellIs" priority="61" operator="equal" dxfId="0" stopIfTrue="1">
      <formula>"Sun"</formula>
    </cfRule>
  </conditionalFormatting>
  <conditionalFormatting sqref="J18:BS31">
    <cfRule type="cellIs" priority="4" operator="equal" dxfId="5" stopIfTrue="1">
      <formula>"Sat"</formula>
    </cfRule>
  </conditionalFormatting>
  <conditionalFormatting sqref="J32:BS36">
    <cfRule type="cellIs" priority="1" operator="equal" dxfId="5" stopIfTrue="1">
      <formula>"Sat"</formula>
    </cfRule>
  </conditionalFormatting>
  <conditionalFormatting sqref="J41:BS44">
    <cfRule type="cellIs" priority="173" operator="equal" dxfId="0" stopIfTrue="1">
      <formula>"Sun"</formula>
    </cfRule>
  </conditionalFormatting>
  <conditionalFormatting sqref="K32:L38">
    <cfRule type="cellIs" priority="53" operator="equal" dxfId="5" stopIfTrue="1">
      <formula>"Sat"</formula>
    </cfRule>
  </conditionalFormatting>
  <conditionalFormatting sqref="N37:BS40">
    <cfRule type="cellIs" priority="7" operator="equal" dxfId="5" stopIfTrue="1">
      <formula>"Sat"</formula>
    </cfRule>
    <cfRule type="cellIs" priority="8" operator="equal" dxfId="0" stopIfTrue="1">
      <formula>"Sun"</formula>
    </cfRule>
  </conditionalFormatting>
  <conditionalFormatting sqref="S25:T31">
    <cfRule type="cellIs" priority="74" operator="equal" dxfId="5" stopIfTrue="1">
      <formula>"Sat"</formula>
    </cfRule>
  </conditionalFormatting>
  <conditionalFormatting sqref="AA32:BR32">
    <cfRule type="cellIs" priority="2" operator="equal" dxfId="0" stopIfTrue="1">
      <formula>"Sun"</formula>
    </cfRule>
  </conditionalFormatting>
  <conditionalFormatting sqref="AN25">
    <cfRule type="cellIs" priority="3" operator="equal" dxfId="0" stopIfTrue="1">
      <formula>"Sun"</formula>
    </cfRule>
  </conditionalFormatting>
  <conditionalFormatting sqref="AP23:BR26">
    <cfRule type="cellIs" priority="5" operator="equal" dxfId="0" stopIfTrue="1">
      <formula>"Sun"</formula>
    </cfRule>
  </conditionalFormatting>
  <conditionalFormatting sqref="AP22:BS22">
    <cfRule type="cellIs" priority="169" operator="equal" dxfId="0" stopIfTrue="1">
      <formula>"Sun"</formula>
    </cfRule>
  </conditionalFormatting>
  <conditionalFormatting sqref="BS23:BS36">
    <cfRule type="cellIs" priority="183"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4.xml><?xml version="1.0" encoding="utf-8"?>
<worksheet xmlns="http://schemas.openxmlformats.org/spreadsheetml/2006/main">
  <sheetPr>
    <tabColor indexed="10"/>
    <outlinePr summaryBelow="1" summaryRight="1"/>
    <pageSetUpPr/>
  </sheetPr>
  <dimension ref="B1:G34"/>
  <sheetViews>
    <sheetView zoomScale="80" workbookViewId="0">
      <selection activeCell="BL31" sqref="BL31"/>
    </sheetView>
  </sheetViews>
  <sheetFormatPr baseColWidth="8" defaultColWidth="8.90625" defaultRowHeight="13.5"/>
  <cols>
    <col width="1.08984375" customWidth="1" style="343" min="1" max="1"/>
    <col width="14" customWidth="1" style="344" min="2" max="2"/>
    <col width="15.6328125" customWidth="1" style="343" min="3" max="3"/>
    <col width="8.90625" customWidth="1" style="343" min="4" max="5"/>
    <col width="14" customWidth="1" style="344" min="6" max="6"/>
    <col width="15.6328125" customWidth="1" style="343" min="7" max="7"/>
    <col width="8.90625" customWidth="1" style="343" min="8" max="8"/>
    <col width="8.90625" customWidth="1" style="343" min="9" max="16384"/>
  </cols>
  <sheetData>
    <row r="1" ht="78.75" customHeight="1" s="304" thickBot="1">
      <c r="B1" s="342" t="inlineStr">
        <is>
          <t>[How to use the Holidays sheet]
Note 1: Enter the date and description of each public holiday, company holiday and anniversary.
Note 2: If there is nothing to enter, leave the cells empty.
Note 3: The year of each date must match the year on the Annual Summary sheet, otherwise it will not display.</t>
        </is>
      </c>
    </row>
    <row r="2" ht="16.5" customHeight="1" s="304" thickBot="1">
      <c r="B2" s="337" t="inlineStr">
        <is>
          <t>Back to Annual Summary</t>
        </is>
      </c>
      <c r="C2" s="309" t="n"/>
      <c r="D2" s="309" t="n"/>
      <c r="E2" s="309" t="n"/>
      <c r="F2" s="309" t="n"/>
      <c r="G2" s="338" t="n"/>
    </row>
    <row r="3" ht="15" customHeight="1" s="304" thickBot="1">
      <c r="B3" s="340" t="inlineStr">
        <is>
          <t>Public Holidays &amp; Company Holidays</t>
        </is>
      </c>
      <c r="C3" s="341" t="n"/>
      <c r="F3" s="335" t="inlineStr">
        <is>
          <t>Anniversary</t>
        </is>
      </c>
      <c r="G3" s="336" t="n"/>
    </row>
    <row r="4" ht="15" customHeight="1" s="304" thickBot="1">
      <c r="B4" s="255" t="inlineStr">
        <is>
          <t>Date (Y/M/D)</t>
        </is>
      </c>
      <c r="C4" s="256" t="inlineStr">
        <is>
          <t>Description</t>
        </is>
      </c>
      <c r="F4" s="255" t="inlineStr">
        <is>
          <t>Date (Y/M/D)</t>
        </is>
      </c>
      <c r="G4" s="256" t="inlineStr">
        <is>
          <t>Description</t>
        </is>
      </c>
    </row>
    <row r="5" ht="14" customHeight="1" s="304">
      <c r="B5" s="440" t="n"/>
      <c r="C5" s="258" t="n"/>
      <c r="F5" s="441" t="n"/>
      <c r="G5" s="260" t="n"/>
    </row>
    <row r="6" ht="14" customHeight="1" s="304">
      <c r="B6" s="442" t="n"/>
      <c r="C6" s="262" t="n"/>
      <c r="F6" s="443" t="n"/>
      <c r="G6" s="264" t="n"/>
    </row>
    <row r="7" ht="14" customHeight="1" s="304">
      <c r="B7" s="442" t="n"/>
      <c r="C7" s="262" t="n"/>
      <c r="F7" s="443" t="n"/>
      <c r="G7" s="264" t="n"/>
    </row>
    <row r="8" ht="14" customHeight="1" s="304">
      <c r="B8" s="442" t="n"/>
      <c r="C8" s="262" t="n"/>
      <c r="F8" s="443" t="n"/>
      <c r="G8" s="264" t="n"/>
    </row>
    <row r="9" ht="14" customHeight="1" s="304">
      <c r="B9" s="442" t="n"/>
      <c r="C9" s="262" t="n"/>
      <c r="F9" s="443" t="n"/>
      <c r="G9" s="264" t="n"/>
    </row>
    <row r="10" ht="14" customHeight="1" s="304">
      <c r="B10" s="442" t="n"/>
      <c r="C10" s="262" t="n"/>
      <c r="F10" s="443" t="n"/>
      <c r="G10" s="264" t="n"/>
    </row>
    <row r="11" ht="14" customHeight="1" s="304">
      <c r="B11" s="442" t="n"/>
      <c r="C11" s="262" t="n"/>
      <c r="F11" s="443" t="n"/>
      <c r="G11" s="264" t="n"/>
    </row>
    <row r="12" ht="14" customHeight="1" s="304">
      <c r="B12" s="442" t="n"/>
      <c r="C12" s="262" t="n"/>
      <c r="F12" s="443" t="n"/>
      <c r="G12" s="264" t="n"/>
    </row>
    <row r="13" ht="14" customHeight="1" s="304">
      <c r="B13" s="442" t="n"/>
      <c r="C13" s="262" t="n"/>
      <c r="F13" s="443" t="n"/>
      <c r="G13" s="264" t="n"/>
    </row>
    <row r="14" ht="14" customHeight="1" s="304">
      <c r="B14" s="442" t="n"/>
      <c r="C14" s="265" t="n"/>
      <c r="F14" s="443" t="n"/>
      <c r="G14" s="264" t="n"/>
    </row>
    <row r="15" ht="14" customHeight="1" s="304">
      <c r="B15" s="442" t="n"/>
      <c r="C15" s="262" t="n"/>
      <c r="F15" s="443" t="n"/>
      <c r="G15" s="264" t="n"/>
    </row>
    <row r="16" ht="14" customHeight="1" s="304">
      <c r="B16" s="442" t="n"/>
      <c r="C16" s="262" t="n"/>
      <c r="F16" s="443" t="n"/>
      <c r="G16" s="264" t="n"/>
    </row>
    <row r="17" ht="14" customHeight="1" s="304">
      <c r="B17" s="442" t="n"/>
      <c r="C17" s="265" t="n"/>
      <c r="F17" s="443" t="n"/>
      <c r="G17" s="264" t="n"/>
    </row>
    <row r="18" ht="14" customHeight="1" s="304">
      <c r="B18" s="442" t="n"/>
      <c r="C18" s="262" t="n"/>
      <c r="F18" s="443" t="n"/>
      <c r="G18" s="264" t="n"/>
    </row>
    <row r="19" ht="14" customHeight="1" s="304">
      <c r="B19" s="442" t="n"/>
      <c r="C19" s="262" t="n"/>
      <c r="F19" s="443" t="n"/>
      <c r="G19" s="264" t="n"/>
    </row>
    <row r="20" ht="14" customHeight="1" s="304">
      <c r="B20" s="442" t="n"/>
      <c r="C20" s="262" t="n"/>
      <c r="F20" s="443" t="n"/>
      <c r="G20" s="264" t="n"/>
    </row>
    <row r="21" ht="14" customHeight="1" s="304">
      <c r="B21" s="442" t="n"/>
      <c r="C21" s="262" t="n"/>
      <c r="F21" s="443" t="n"/>
      <c r="G21" s="264" t="n"/>
    </row>
    <row r="22" ht="14" customHeight="1" s="304">
      <c r="B22" s="442" t="n"/>
      <c r="C22" s="262" t="n"/>
      <c r="F22" s="443" t="n"/>
      <c r="G22" s="264" t="n"/>
    </row>
    <row r="23" ht="14" customHeight="1" s="304">
      <c r="B23" s="442" t="n"/>
      <c r="C23" s="262" t="n"/>
      <c r="F23" s="443" t="n"/>
      <c r="G23" s="264" t="n"/>
    </row>
    <row r="24" ht="14" customHeight="1" s="304">
      <c r="B24" s="442" t="n"/>
      <c r="C24" s="262" t="n"/>
      <c r="F24" s="443" t="n"/>
      <c r="G24" s="264" t="n"/>
    </row>
    <row r="25" ht="14" customHeight="1" s="304">
      <c r="B25" s="442" t="n"/>
      <c r="C25" s="262" t="n"/>
      <c r="F25" s="443" t="n"/>
      <c r="G25" s="264" t="n"/>
    </row>
    <row r="26" ht="14" customHeight="1" s="304">
      <c r="B26" s="442" t="n"/>
      <c r="C26" s="262" t="n"/>
      <c r="F26" s="443" t="n"/>
      <c r="G26" s="264" t="n"/>
    </row>
    <row r="27" ht="14" customHeight="1" s="304">
      <c r="B27" s="442" t="n"/>
      <c r="C27" s="262" t="n"/>
      <c r="F27" s="443" t="n"/>
      <c r="G27" s="264" t="n"/>
    </row>
    <row r="28" ht="14" customHeight="1" s="304">
      <c r="B28" s="442" t="n"/>
      <c r="C28" s="262" t="n"/>
      <c r="F28" s="443" t="n"/>
      <c r="G28" s="264" t="n"/>
    </row>
    <row r="29" ht="14" customHeight="1" s="304">
      <c r="B29" s="442" t="n"/>
      <c r="C29" s="262" t="n"/>
      <c r="F29" s="443" t="n"/>
      <c r="G29" s="264" t="n"/>
    </row>
    <row r="30" ht="14" customHeight="1" s="304">
      <c r="B30" s="442" t="n"/>
      <c r="C30" s="262" t="n"/>
      <c r="F30" s="443" t="n"/>
      <c r="G30" s="264" t="n"/>
    </row>
    <row r="31" ht="14" customHeight="1" s="304">
      <c r="B31" s="442" t="n"/>
      <c r="C31" s="262" t="n"/>
      <c r="F31" s="443" t="n"/>
      <c r="G31" s="264" t="n"/>
    </row>
    <row r="32" ht="14" customHeight="1" s="304">
      <c r="B32" s="442" t="n"/>
      <c r="C32" s="262" t="n"/>
      <c r="F32" s="443" t="n"/>
      <c r="G32" s="264" t="n"/>
    </row>
    <row r="33" ht="15" customHeight="1" s="304" thickBot="1">
      <c r="B33" s="444" t="n"/>
      <c r="C33" s="267" t="n"/>
      <c r="F33" s="445" t="n"/>
      <c r="G33" s="269" t="n"/>
    </row>
    <row r="34" ht="15" customHeight="1" s="304" thickBot="1">
      <c r="B34" s="339" t="inlineStr">
        <is>
          <t>Back to Annual Summary</t>
        </is>
      </c>
      <c r="C34" s="309" t="n"/>
      <c r="D34" s="309" t="n"/>
      <c r="E34" s="309" t="n"/>
      <c r="F34" s="309" t="n"/>
      <c r="G34" s="338" t="n"/>
    </row>
  </sheetData>
  <mergeCells count="5">
    <mergeCell ref="F3:G3"/>
    <mergeCell ref="B2:G2"/>
    <mergeCell ref="B34:G34"/>
    <mergeCell ref="B3:C3"/>
    <mergeCell ref="B1:G1"/>
  </mergeCells>
  <hyperlinks>
    <hyperlink ref="B2" location="'Annual Summary'!F6" display="Back to Annual Summary"/>
    <hyperlink ref="B34" location="'Annual Summary'!F6" display="Back to Annual Summary"/>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P30"/>
  <sheetViews>
    <sheetView workbookViewId="0">
      <pane ySplit="2" topLeftCell="A3" activePane="bottomLeft" state="frozen"/>
      <selection pane="bottomLeft" activeCell="A1" sqref="A1"/>
    </sheetView>
  </sheetViews>
  <sheetFormatPr baseColWidth="8" defaultRowHeight="15"/>
  <cols>
    <col width="16" customWidth="1" style="304" min="1" max="1"/>
    <col width="16" customWidth="1" style="304" min="2" max="2"/>
    <col width="12" customWidth="1" style="304" min="3" max="3"/>
    <col width="20" customWidth="1" style="304" min="4" max="4"/>
    <col width="16" customWidth="1" style="304" min="5" max="5"/>
    <col width="12" customWidth="1" style="304" min="6" max="6"/>
    <col width="18" customWidth="1" style="304" min="7" max="7"/>
    <col width="14" customWidth="1" style="304" min="8" max="8"/>
    <col width="24" customWidth="1" style="304" min="9" max="9"/>
    <col width="20" customWidth="1" style="304" min="10" max="10"/>
    <col width="16" customWidth="1" style="304" min="11" max="11"/>
    <col width="16" customWidth="1" style="304" min="12" max="12"/>
    <col width="18" customWidth="1" style="304" min="13" max="13"/>
    <col width="40" customWidth="1" style="304" min="14" max="14"/>
    <col width="18" customWidth="1" style="304" min="15" max="15"/>
    <col width="14" customWidth="1" style="304" min="16" max="16"/>
  </cols>
  <sheetData>
    <row r="1" ht="40" customHeight="1" s="304">
      <c r="A1" s="448" t="inlineStr">
        <is>
          <t>Cards. One row per card or bank account. Store the last 4 only, never a full number. Paid status stops the due reminder. Statement day and due day are the usual day of the month.</t>
        </is>
      </c>
    </row>
    <row r="2" ht="32" customHeight="1" s="304">
      <c r="A2" s="449" t="inlineStr">
        <is>
          <t>Issuer</t>
        </is>
      </c>
      <c r="B2" s="449" t="inlineStr">
        <is>
          <t>Product</t>
        </is>
      </c>
      <c r="C2" s="449" t="inlineStr">
        <is>
          <t>Last 4</t>
        </is>
      </c>
      <c r="D2" s="449" t="inlineStr">
        <is>
          <t>Holder</t>
        </is>
      </c>
      <c r="E2" s="449" t="inlineStr">
        <is>
          <t>Statement day</t>
        </is>
      </c>
      <c r="F2" s="449" t="inlineStr">
        <is>
          <t>Due day</t>
        </is>
      </c>
      <c r="G2" s="449" t="inlineStr">
        <is>
          <t>Last amount due</t>
        </is>
      </c>
      <c r="H2" s="449" t="inlineStr">
        <is>
          <t>Paid status</t>
        </is>
      </c>
      <c r="I2" s="449" t="inlineStr">
        <is>
          <t>Card label</t>
        </is>
      </c>
      <c r="J2" s="449" t="inlineStr">
        <is>
          <t>Last statement date</t>
        </is>
      </c>
      <c r="K2" s="449" t="inlineStr">
        <is>
          <t>Period start</t>
        </is>
      </c>
      <c r="L2" s="449" t="inlineStr">
        <is>
          <t>Period end</t>
        </is>
      </c>
      <c r="M2" s="449" t="inlineStr">
        <is>
          <t>Minimum payment</t>
        </is>
      </c>
      <c r="N2" s="449" t="inlineStr">
        <is>
          <t>Statement file</t>
        </is>
      </c>
      <c r="O2" s="449" t="inlineStr">
        <is>
          <t>Account cards</t>
        </is>
      </c>
      <c r="P2" s="449" t="inlineStr">
        <is>
          <t>Credit</t>
        </is>
      </c>
    </row>
    <row r="3">
      <c r="G3" s="499" t="n"/>
      <c r="J3" s="502" t="n"/>
      <c r="K3" s="502" t="n"/>
      <c r="L3" s="502" t="n"/>
      <c r="M3" s="499" t="n"/>
      <c r="P3" s="499" t="n"/>
    </row>
    <row r="4">
      <c r="G4" s="499" t="n"/>
      <c r="J4" s="502" t="n"/>
      <c r="K4" s="502" t="n"/>
      <c r="L4" s="502" t="n"/>
      <c r="M4" s="499" t="n"/>
      <c r="P4" s="499" t="n"/>
    </row>
    <row r="5">
      <c r="G5" s="499" t="n"/>
      <c r="J5" s="502" t="n"/>
      <c r="K5" s="502" t="n"/>
      <c r="L5" s="502" t="n"/>
      <c r="M5" s="499" t="n"/>
      <c r="P5" s="499" t="n"/>
    </row>
    <row r="6">
      <c r="G6" s="499" t="n"/>
      <c r="J6" s="502" t="n"/>
      <c r="K6" s="502" t="n"/>
      <c r="L6" s="502" t="n"/>
      <c r="M6" s="499" t="n"/>
      <c r="P6" s="499" t="n"/>
    </row>
    <row r="7">
      <c r="G7" s="499" t="n"/>
      <c r="J7" s="502" t="n"/>
      <c r="K7" s="502" t="n"/>
      <c r="L7" s="502" t="n"/>
      <c r="M7" s="499" t="n"/>
      <c r="P7" s="499" t="n"/>
    </row>
    <row r="8">
      <c r="G8" s="499" t="n"/>
      <c r="J8" s="502" t="n"/>
      <c r="K8" s="502" t="n"/>
      <c r="L8" s="502" t="n"/>
      <c r="M8" s="499" t="n"/>
      <c r="P8" s="499" t="n"/>
    </row>
    <row r="9">
      <c r="G9" s="499" t="n"/>
      <c r="J9" s="502" t="n"/>
      <c r="K9" s="502" t="n"/>
      <c r="L9" s="502" t="n"/>
      <c r="M9" s="499" t="n"/>
      <c r="P9" s="499" t="n"/>
    </row>
    <row r="10">
      <c r="G10" s="499" t="n"/>
      <c r="J10" s="502" t="n"/>
      <c r="K10" s="502" t="n"/>
      <c r="L10" s="502" t="n"/>
      <c r="M10" s="499" t="n"/>
      <c r="P10" s="499" t="n"/>
    </row>
    <row r="11">
      <c r="G11" s="499" t="n"/>
      <c r="J11" s="502" t="n"/>
      <c r="K11" s="502" t="n"/>
      <c r="L11" s="502" t="n"/>
      <c r="M11" s="499" t="n"/>
      <c r="P11" s="499" t="n"/>
    </row>
    <row r="12">
      <c r="G12" s="499" t="n"/>
      <c r="J12" s="502" t="n"/>
      <c r="K12" s="502" t="n"/>
      <c r="L12" s="502" t="n"/>
      <c r="M12" s="499" t="n"/>
      <c r="P12" s="499" t="n"/>
    </row>
    <row r="13">
      <c r="G13" s="499" t="n"/>
      <c r="J13" s="502" t="n"/>
      <c r="K13" s="502" t="n"/>
      <c r="L13" s="502" t="n"/>
      <c r="M13" s="499" t="n"/>
      <c r="P13" s="499" t="n"/>
    </row>
    <row r="14">
      <c r="G14" s="499" t="n"/>
      <c r="J14" s="502" t="n"/>
      <c r="K14" s="502" t="n"/>
      <c r="L14" s="502" t="n"/>
      <c r="M14" s="499" t="n"/>
      <c r="P14" s="499" t="n"/>
    </row>
    <row r="15">
      <c r="G15" s="499" t="n"/>
      <c r="J15" s="502" t="n"/>
      <c r="K15" s="502" t="n"/>
      <c r="L15" s="502" t="n"/>
      <c r="M15" s="499" t="n"/>
      <c r="P15" s="499" t="n"/>
    </row>
    <row r="16">
      <c r="G16" s="499" t="n"/>
      <c r="J16" s="502" t="n"/>
      <c r="K16" s="502" t="n"/>
      <c r="L16" s="502" t="n"/>
      <c r="M16" s="499" t="n"/>
      <c r="P16" s="499" t="n"/>
    </row>
    <row r="17">
      <c r="G17" s="499" t="n"/>
      <c r="J17" s="502" t="n"/>
      <c r="K17" s="502" t="n"/>
      <c r="L17" s="502" t="n"/>
      <c r="M17" s="499" t="n"/>
      <c r="P17" s="499" t="n"/>
    </row>
    <row r="18">
      <c r="G18" s="499" t="n"/>
      <c r="J18" s="502" t="n"/>
      <c r="K18" s="502" t="n"/>
      <c r="L18" s="502" t="n"/>
      <c r="M18" s="499" t="n"/>
      <c r="P18" s="499" t="n"/>
    </row>
    <row r="19">
      <c r="G19" s="499" t="n"/>
      <c r="J19" s="502" t="n"/>
      <c r="K19" s="502" t="n"/>
      <c r="L19" s="502" t="n"/>
      <c r="M19" s="499" t="n"/>
      <c r="P19" s="499" t="n"/>
    </row>
    <row r="20">
      <c r="G20" s="499" t="n"/>
      <c r="J20" s="502" t="n"/>
      <c r="K20" s="502" t="n"/>
      <c r="L20" s="502" t="n"/>
      <c r="M20" s="499" t="n"/>
      <c r="P20" s="499" t="n"/>
    </row>
    <row r="21">
      <c r="G21" s="499" t="n"/>
      <c r="J21" s="502" t="n"/>
      <c r="K21" s="502" t="n"/>
      <c r="L21" s="502" t="n"/>
      <c r="M21" s="499" t="n"/>
      <c r="P21" s="499" t="n"/>
    </row>
    <row r="22">
      <c r="G22" s="499" t="n"/>
      <c r="J22" s="502" t="n"/>
      <c r="K22" s="502" t="n"/>
      <c r="L22" s="502" t="n"/>
      <c r="M22" s="499" t="n"/>
      <c r="P22" s="499" t="n"/>
    </row>
    <row r="23">
      <c r="G23" s="499" t="n"/>
      <c r="J23" s="502" t="n"/>
      <c r="K23" s="502" t="n"/>
      <c r="L23" s="502" t="n"/>
      <c r="M23" s="499" t="n"/>
      <c r="P23" s="499" t="n"/>
    </row>
    <row r="24">
      <c r="G24" s="499" t="n"/>
      <c r="J24" s="502" t="n"/>
      <c r="K24" s="502" t="n"/>
      <c r="L24" s="502" t="n"/>
      <c r="M24" s="499" t="n"/>
      <c r="P24" s="499" t="n"/>
    </row>
    <row r="25">
      <c r="G25" s="499" t="n"/>
      <c r="J25" s="502" t="n"/>
      <c r="K25" s="502" t="n"/>
      <c r="L25" s="502" t="n"/>
      <c r="M25" s="499" t="n"/>
      <c r="P25" s="499" t="n"/>
    </row>
    <row r="26">
      <c r="G26" s="499" t="n"/>
      <c r="J26" s="502" t="n"/>
      <c r="K26" s="502" t="n"/>
      <c r="L26" s="502" t="n"/>
      <c r="M26" s="499" t="n"/>
      <c r="P26" s="499" t="n"/>
    </row>
    <row r="27">
      <c r="G27" s="499" t="n"/>
      <c r="J27" s="502" t="n"/>
      <c r="K27" s="502" t="n"/>
      <c r="L27" s="502" t="n"/>
      <c r="M27" s="499" t="n"/>
      <c r="P27" s="499" t="n"/>
    </row>
    <row r="28">
      <c r="G28" s="499" t="n"/>
      <c r="J28" s="502" t="n"/>
      <c r="K28" s="502" t="n"/>
      <c r="L28" s="502" t="n"/>
      <c r="M28" s="499" t="n"/>
      <c r="P28" s="499" t="n"/>
    </row>
    <row r="29">
      <c r="G29" s="499" t="n"/>
      <c r="J29" s="502" t="n"/>
      <c r="K29" s="502" t="n"/>
      <c r="L29" s="502" t="n"/>
      <c r="M29" s="499" t="n"/>
      <c r="P29" s="499" t="n"/>
    </row>
    <row r="30">
      <c r="G30" s="499" t="n"/>
      <c r="J30" s="502" t="n"/>
      <c r="K30" s="502" t="n"/>
      <c r="L30" s="502" t="n"/>
      <c r="M30" s="499" t="n"/>
      <c r="P30" s="499" t="n"/>
    </row>
  </sheetData>
  <autoFilter ref="A2:P2"/>
  <mergeCells count="1">
    <mergeCell ref="A1:P1"/>
  </mergeCells>
  <dataValidations count="1">
    <dataValidation sqref="H3:H30" showDropDown="0" showInputMessage="0" showErrorMessage="0" allowBlank="1" type="list">
      <formula1>"unpaid,paid"</formula1>
    </dataValidation>
  </dataValidations>
  <pageMargins left="0.75" right="0.75" top="1" bottom="1" header="0.5" footer="0.5"/>
</worksheet>
</file>

<file path=xl/worksheets/sheet16.xml><?xml version="1.0" encoding="utf-8"?>
<worksheet xmlns="http://schemas.openxmlformats.org/spreadsheetml/2006/main">
  <sheetPr>
    <tabColor rgb="FF808080"/>
    <outlinePr summaryBelow="1" summaryRight="1"/>
    <pageSetUpPr/>
  </sheetPr>
  <dimension ref="A1:V500"/>
  <sheetViews>
    <sheetView workbookViewId="0">
      <pane ySplit="1" topLeftCell="A2" activePane="bottomLeft" state="frozen"/>
      <selection pane="bottomLeft" activeCell="A2" sqref="A2"/>
    </sheetView>
  </sheetViews>
  <sheetFormatPr baseColWidth="8" defaultRowHeight="15"/>
  <cols>
    <col width="42" customWidth="1" style="304" min="1" max="1"/>
    <col width="14" customWidth="1" style="304" min="2" max="2"/>
    <col width="18" customWidth="1" style="304" min="3" max="3"/>
    <col width="12" customWidth="1" style="304" min="4" max="4"/>
    <col width="28" customWidth="1" style="304" min="5" max="5"/>
    <col width="40" customWidth="1" style="304" min="6" max="6"/>
    <col width="16" customWidth="1" style="304" min="7" max="7"/>
    <col width="62" customWidth="1" style="304" min="8" max="8"/>
    <col width="22" customWidth="1" style="304" min="9" max="9"/>
    <col width="20" customWidth="1" style="304" min="10" max="10"/>
    <col width="55" customWidth="1" style="304" min="11" max="11"/>
    <col width="14" customWidth="1" style="304" min="12" max="12"/>
    <col width="18" customWidth="1" style="304" min="13" max="13"/>
    <col width="14" customWidth="1" style="304" min="14" max="14"/>
    <col width="40" customWidth="1" style="304" min="15" max="15"/>
  </cols>
  <sheetData>
    <row r="1" ht="48" customHeight="1" s="304">
      <c r="A1" s="0" t="inlineStr">
        <is>
          <t>Source</t>
        </is>
      </c>
      <c r="B1" s="0" t="inlineStr">
        <is>
          <t>Date</t>
        </is>
      </c>
      <c r="C1" s="0" t="inlineStr">
        <is>
          <t>Merchant</t>
        </is>
      </c>
      <c r="D1" s="0" t="inlineStr">
        <is>
          <t>Total</t>
        </is>
      </c>
      <c r="E1" s="0" t="inlineStr">
        <is>
          <t>Where written</t>
        </is>
      </c>
      <c r="F1" s="0" t="inlineStr">
        <is>
          <t>Saved file</t>
        </is>
      </c>
      <c r="G1" s="0" t="inlineStr">
        <is>
          <t>Logged by</t>
        </is>
      </c>
      <c r="H1" s="465" t="inlineStr">
        <is>
          <t>Authoritative dedupe list for Family Book bots (v2.1). One row per purchase. Do not edit or delete rows. A duplicate the user confirms, and an answered question, is marked superseded in column N and kept. Column E is Where written: the amount cell is chosen and recorded here before the amount is written. A retry reads that cell and does not pick a new row. Column N is Status: pending (write in progress), question (an open yes/no, nothing written into the grid), awaiting statement, no receipt, matched, cash, done, refused, or superseded. Column O is the SHA-256 of each saved file, and several hashes are joined with ', '. Column F joins files the same way: '1 photo: &lt;url&gt;, 2 email: &lt;url&gt;'. Columns P to V hold the statement key (last4, post date, amount, normalized description, occurrence), the card label, the post date, the FX note, the linked receipt or purchase, the statement file, and the section row. The same purchase is one Transactions row, one Receipts row, or both, and it is never added to the grid twice.</t>
        </is>
      </c>
      <c r="I1" s="458" t="inlineStr">
        <is>
          <t>Receipt/order #</t>
        </is>
      </c>
      <c r="J1" s="458" t="inlineStr">
        <is>
          <t>Date &amp; time</t>
        </is>
      </c>
      <c r="K1" s="458" t="inlineStr">
        <is>
          <t>Items</t>
        </is>
      </c>
      <c r="L1" s="458" t="inlineStr">
        <is>
          <t>Payment</t>
        </is>
      </c>
      <c r="M1" s="458" t="inlineStr">
        <is>
          <t>Month list row</t>
        </is>
      </c>
      <c r="N1" s="464" t="inlineStr">
        <is>
          <t>Status</t>
        </is>
      </c>
      <c r="O1" s="464" t="inlineStr">
        <is>
          <t>Content hash</t>
        </is>
      </c>
      <c r="P1" s="466" t="inlineStr">
        <is>
          <t>Txn key</t>
        </is>
      </c>
      <c r="Q1" s="466" t="inlineStr">
        <is>
          <t>Card</t>
        </is>
      </c>
      <c r="R1" s="466" t="inlineStr">
        <is>
          <t>Post date</t>
        </is>
      </c>
      <c r="S1" s="466" t="inlineStr">
        <is>
          <t>FX note</t>
        </is>
      </c>
      <c r="T1" s="466" t="inlineStr">
        <is>
          <t>Linked to</t>
        </is>
      </c>
      <c r="U1" s="466" t="inlineStr">
        <is>
          <t>Statement file</t>
        </is>
      </c>
      <c r="V1" s="466" t="inlineStr">
        <is>
          <t>Section row</t>
        </is>
      </c>
    </row>
    <row r="2">
      <c r="D2" s="461" t="n"/>
    </row>
    <row r="3">
      <c r="D3" s="461" t="n"/>
    </row>
    <row r="4">
      <c r="D4" s="461" t="n"/>
    </row>
    <row r="5">
      <c r="D5" s="461" t="n"/>
    </row>
    <row r="6">
      <c r="D6" s="461" t="n"/>
    </row>
    <row r="7">
      <c r="D7" s="461" t="n"/>
    </row>
    <row r="8">
      <c r="D8" s="461" t="n"/>
    </row>
    <row r="9">
      <c r="D9" s="461" t="n"/>
    </row>
    <row r="10">
      <c r="D10" s="461" t="n"/>
    </row>
    <row r="11">
      <c r="D11" s="461" t="n"/>
    </row>
    <row r="12">
      <c r="D12" s="461" t="n"/>
    </row>
    <row r="13">
      <c r="D13" s="461" t="n"/>
    </row>
    <row r="14">
      <c r="D14" s="461" t="n"/>
    </row>
    <row r="15">
      <c r="D15" s="461" t="n"/>
    </row>
    <row r="16">
      <c r="D16" s="461" t="n"/>
    </row>
    <row r="17">
      <c r="D17" s="461" t="n"/>
    </row>
    <row r="18">
      <c r="D18" s="461" t="n"/>
    </row>
    <row r="19">
      <c r="D19" s="461" t="n"/>
    </row>
    <row r="20">
      <c r="D20" s="461" t="n"/>
    </row>
    <row r="21">
      <c r="D21" s="461" t="n"/>
    </row>
    <row r="22">
      <c r="D22" s="461" t="n"/>
    </row>
    <row r="23">
      <c r="D23" s="461" t="n"/>
    </row>
    <row r="24">
      <c r="D24" s="461" t="n"/>
    </row>
    <row r="25">
      <c r="D25" s="461" t="n"/>
    </row>
    <row r="26">
      <c r="D26" s="461" t="n"/>
    </row>
    <row r="27">
      <c r="D27" s="461" t="n"/>
    </row>
    <row r="28">
      <c r="D28" s="461" t="n"/>
    </row>
    <row r="29">
      <c r="D29" s="461" t="n"/>
    </row>
    <row r="30">
      <c r="D30" s="461" t="n"/>
    </row>
    <row r="31">
      <c r="D31" s="461" t="n"/>
    </row>
    <row r="32">
      <c r="D32" s="461" t="n"/>
    </row>
    <row r="33">
      <c r="D33" s="461" t="n"/>
    </row>
    <row r="34">
      <c r="D34" s="461" t="n"/>
    </row>
    <row r="35">
      <c r="D35" s="461" t="n"/>
    </row>
    <row r="36">
      <c r="D36" s="461" t="n"/>
    </row>
    <row r="37">
      <c r="D37" s="461" t="n"/>
    </row>
    <row r="38">
      <c r="D38" s="461" t="n"/>
    </row>
    <row r="39">
      <c r="D39" s="461" t="n"/>
    </row>
    <row r="40">
      <c r="D40" s="461" t="n"/>
    </row>
    <row r="41">
      <c r="D41" s="461" t="n"/>
    </row>
    <row r="42">
      <c r="D42" s="461" t="n"/>
    </row>
    <row r="43">
      <c r="D43" s="461" t="n"/>
    </row>
    <row r="44">
      <c r="D44" s="461" t="n"/>
    </row>
    <row r="45">
      <c r="D45" s="461" t="n"/>
    </row>
    <row r="46">
      <c r="D46" s="461" t="n"/>
    </row>
    <row r="47">
      <c r="D47" s="461" t="n"/>
    </row>
    <row r="48">
      <c r="D48" s="461" t="n"/>
    </row>
    <row r="49">
      <c r="D49" s="461" t="n"/>
    </row>
    <row r="50">
      <c r="D50" s="461" t="n"/>
    </row>
    <row r="51">
      <c r="D51" s="461" t="n"/>
    </row>
    <row r="52">
      <c r="D52" s="461" t="n"/>
    </row>
    <row r="53">
      <c r="D53" s="461" t="n"/>
    </row>
    <row r="54">
      <c r="D54" s="461" t="n"/>
    </row>
    <row r="55">
      <c r="D55" s="461" t="n"/>
    </row>
    <row r="56">
      <c r="D56" s="461" t="n"/>
    </row>
    <row r="57">
      <c r="D57" s="461" t="n"/>
    </row>
    <row r="58">
      <c r="D58" s="461" t="n"/>
    </row>
    <row r="59">
      <c r="D59" s="461" t="n"/>
    </row>
    <row r="60">
      <c r="D60" s="461" t="n"/>
    </row>
    <row r="61">
      <c r="D61" s="461" t="n"/>
    </row>
    <row r="62">
      <c r="D62" s="461" t="n"/>
    </row>
    <row r="63">
      <c r="D63" s="461" t="n"/>
    </row>
    <row r="64">
      <c r="D64" s="461" t="n"/>
    </row>
    <row r="65">
      <c r="D65" s="461" t="n"/>
    </row>
    <row r="66">
      <c r="D66" s="461" t="n"/>
    </row>
    <row r="67">
      <c r="D67" s="461" t="n"/>
    </row>
    <row r="68">
      <c r="D68" s="461" t="n"/>
    </row>
    <row r="69">
      <c r="D69" s="461" t="n"/>
    </row>
    <row r="70">
      <c r="D70" s="461" t="n"/>
    </row>
    <row r="71">
      <c r="D71" s="461" t="n"/>
    </row>
    <row r="72">
      <c r="D72" s="461" t="n"/>
    </row>
    <row r="73">
      <c r="D73" s="461" t="n"/>
    </row>
    <row r="74">
      <c r="D74" s="461" t="n"/>
    </row>
    <row r="75">
      <c r="D75" s="461" t="n"/>
    </row>
    <row r="76">
      <c r="D76" s="461" t="n"/>
    </row>
    <row r="77">
      <c r="D77" s="461" t="n"/>
    </row>
    <row r="78">
      <c r="D78" s="461" t="n"/>
    </row>
    <row r="79">
      <c r="D79" s="461" t="n"/>
    </row>
    <row r="80">
      <c r="D80" s="461" t="n"/>
    </row>
    <row r="81">
      <c r="D81" s="461" t="n"/>
    </row>
    <row r="82">
      <c r="D82" s="461" t="n"/>
    </row>
    <row r="83">
      <c r="D83" s="461" t="n"/>
    </row>
    <row r="84">
      <c r="D84" s="461" t="n"/>
    </row>
    <row r="85">
      <c r="D85" s="461" t="n"/>
    </row>
    <row r="86">
      <c r="D86" s="461" t="n"/>
    </row>
    <row r="87">
      <c r="D87" s="461" t="n"/>
    </row>
    <row r="88">
      <c r="D88" s="461" t="n"/>
    </row>
    <row r="89">
      <c r="D89" s="461" t="n"/>
    </row>
    <row r="90">
      <c r="D90" s="461" t="n"/>
    </row>
    <row r="91">
      <c r="D91" s="461" t="n"/>
    </row>
    <row r="92">
      <c r="D92" s="461" t="n"/>
    </row>
    <row r="93">
      <c r="D93" s="461" t="n"/>
    </row>
    <row r="94">
      <c r="D94" s="461" t="n"/>
    </row>
    <row r="95">
      <c r="D95" s="461" t="n"/>
    </row>
    <row r="96">
      <c r="D96" s="461" t="n"/>
    </row>
    <row r="97">
      <c r="D97" s="461" t="n"/>
    </row>
    <row r="98">
      <c r="D98" s="461" t="n"/>
    </row>
    <row r="99">
      <c r="D99" s="461" t="n"/>
    </row>
    <row r="100">
      <c r="D100" s="461" t="n"/>
    </row>
    <row r="101">
      <c r="D101" s="461" t="n"/>
    </row>
    <row r="102">
      <c r="D102" s="461" t="n"/>
    </row>
    <row r="103">
      <c r="D103" s="461" t="n"/>
    </row>
    <row r="104">
      <c r="D104" s="461" t="n"/>
    </row>
    <row r="105">
      <c r="D105" s="461" t="n"/>
    </row>
    <row r="106">
      <c r="D106" s="461" t="n"/>
    </row>
    <row r="107">
      <c r="D107" s="461" t="n"/>
    </row>
    <row r="108">
      <c r="D108" s="461" t="n"/>
    </row>
    <row r="109">
      <c r="D109" s="461" t="n"/>
    </row>
    <row r="110">
      <c r="D110" s="461" t="n"/>
    </row>
    <row r="111">
      <c r="D111" s="461" t="n"/>
    </row>
    <row r="112">
      <c r="D112" s="461" t="n"/>
    </row>
    <row r="113">
      <c r="D113" s="461" t="n"/>
    </row>
    <row r="114">
      <c r="D114" s="461" t="n"/>
    </row>
    <row r="115">
      <c r="D115" s="461" t="n"/>
    </row>
    <row r="116">
      <c r="D116" s="461" t="n"/>
    </row>
    <row r="117">
      <c r="D117" s="461" t="n"/>
    </row>
    <row r="118">
      <c r="D118" s="461" t="n"/>
    </row>
    <row r="119">
      <c r="D119" s="461" t="n"/>
    </row>
    <row r="120">
      <c r="D120" s="461" t="n"/>
    </row>
    <row r="121">
      <c r="D121" s="461" t="n"/>
    </row>
    <row r="122">
      <c r="D122" s="461" t="n"/>
    </row>
    <row r="123">
      <c r="D123" s="461" t="n"/>
    </row>
    <row r="124">
      <c r="D124" s="461" t="n"/>
    </row>
    <row r="125">
      <c r="D125" s="461" t="n"/>
    </row>
    <row r="126">
      <c r="D126" s="461" t="n"/>
    </row>
    <row r="127">
      <c r="D127" s="461" t="n"/>
    </row>
    <row r="128">
      <c r="D128" s="461" t="n"/>
    </row>
    <row r="129">
      <c r="D129" s="461" t="n"/>
    </row>
    <row r="130">
      <c r="D130" s="461" t="n"/>
    </row>
    <row r="131">
      <c r="D131" s="461" t="n"/>
    </row>
    <row r="132">
      <c r="D132" s="461" t="n"/>
    </row>
    <row r="133">
      <c r="D133" s="461" t="n"/>
    </row>
    <row r="134">
      <c r="D134" s="461" t="n"/>
    </row>
    <row r="135">
      <c r="D135" s="461" t="n"/>
    </row>
    <row r="136">
      <c r="D136" s="461" t="n"/>
    </row>
    <row r="137">
      <c r="D137" s="461" t="n"/>
    </row>
    <row r="138">
      <c r="D138" s="461" t="n"/>
    </row>
    <row r="139">
      <c r="D139" s="461" t="n"/>
    </row>
    <row r="140">
      <c r="D140" s="461" t="n"/>
    </row>
    <row r="141">
      <c r="D141" s="461" t="n"/>
    </row>
    <row r="142">
      <c r="D142" s="461" t="n"/>
    </row>
    <row r="143">
      <c r="D143" s="461" t="n"/>
    </row>
    <row r="144">
      <c r="D144" s="461" t="n"/>
    </row>
    <row r="145">
      <c r="D145" s="461" t="n"/>
    </row>
    <row r="146">
      <c r="D146" s="461" t="n"/>
    </row>
    <row r="147">
      <c r="D147" s="461" t="n"/>
    </row>
    <row r="148">
      <c r="D148" s="461" t="n"/>
    </row>
    <row r="149">
      <c r="D149" s="461" t="n"/>
    </row>
    <row r="150">
      <c r="D150" s="461" t="n"/>
    </row>
    <row r="151">
      <c r="D151" s="461" t="n"/>
    </row>
    <row r="152">
      <c r="D152" s="461" t="n"/>
    </row>
    <row r="153">
      <c r="D153" s="461" t="n"/>
    </row>
    <row r="154">
      <c r="D154" s="461" t="n"/>
    </row>
    <row r="155">
      <c r="D155" s="461" t="n"/>
    </row>
    <row r="156">
      <c r="D156" s="461" t="n"/>
    </row>
    <row r="157">
      <c r="D157" s="461" t="n"/>
    </row>
    <row r="158">
      <c r="D158" s="461" t="n"/>
    </row>
    <row r="159">
      <c r="D159" s="461" t="n"/>
    </row>
    <row r="160">
      <c r="D160" s="461" t="n"/>
    </row>
    <row r="161">
      <c r="D161" s="461" t="n"/>
    </row>
    <row r="162">
      <c r="D162" s="461" t="n"/>
    </row>
    <row r="163">
      <c r="D163" s="461" t="n"/>
    </row>
    <row r="164">
      <c r="D164" s="461" t="n"/>
    </row>
    <row r="165">
      <c r="D165" s="461" t="n"/>
    </row>
    <row r="166">
      <c r="D166" s="461" t="n"/>
    </row>
    <row r="167">
      <c r="D167" s="461" t="n"/>
    </row>
    <row r="168">
      <c r="D168" s="461" t="n"/>
    </row>
    <row r="169">
      <c r="D169" s="461" t="n"/>
    </row>
    <row r="170">
      <c r="D170" s="461" t="n"/>
    </row>
    <row r="171">
      <c r="D171" s="461" t="n"/>
    </row>
    <row r="172">
      <c r="D172" s="461" t="n"/>
    </row>
    <row r="173">
      <c r="D173" s="461" t="n"/>
    </row>
    <row r="174">
      <c r="D174" s="461" t="n"/>
    </row>
    <row r="175">
      <c r="D175" s="461" t="n"/>
    </row>
    <row r="176">
      <c r="D176" s="461" t="n"/>
    </row>
    <row r="177">
      <c r="D177" s="461" t="n"/>
    </row>
    <row r="178">
      <c r="D178" s="461" t="n"/>
    </row>
    <row r="179">
      <c r="D179" s="461" t="n"/>
    </row>
    <row r="180">
      <c r="D180" s="461" t="n"/>
    </row>
    <row r="181">
      <c r="D181" s="461" t="n"/>
    </row>
    <row r="182">
      <c r="D182" s="461" t="n"/>
    </row>
    <row r="183">
      <c r="D183" s="461" t="n"/>
    </row>
    <row r="184">
      <c r="D184" s="461" t="n"/>
    </row>
    <row r="185">
      <c r="D185" s="461" t="n"/>
    </row>
    <row r="186">
      <c r="D186" s="461" t="n"/>
    </row>
    <row r="187">
      <c r="D187" s="461" t="n"/>
    </row>
    <row r="188">
      <c r="D188" s="461" t="n"/>
    </row>
    <row r="189">
      <c r="D189" s="461" t="n"/>
    </row>
    <row r="190">
      <c r="D190" s="461" t="n"/>
    </row>
    <row r="191">
      <c r="D191" s="461" t="n"/>
    </row>
    <row r="192">
      <c r="D192" s="461" t="n"/>
    </row>
    <row r="193">
      <c r="D193" s="461" t="n"/>
    </row>
    <row r="194">
      <c r="D194" s="461" t="n"/>
    </row>
    <row r="195">
      <c r="D195" s="461" t="n"/>
    </row>
    <row r="196">
      <c r="D196" s="461" t="n"/>
    </row>
    <row r="197">
      <c r="D197" s="461" t="n"/>
    </row>
    <row r="198">
      <c r="D198" s="461" t="n"/>
    </row>
    <row r="199">
      <c r="D199" s="461" t="n"/>
    </row>
    <row r="200">
      <c r="D200" s="461" t="n"/>
    </row>
    <row r="201">
      <c r="D201" s="461" t="n"/>
    </row>
    <row r="202">
      <c r="D202" s="461" t="n"/>
    </row>
    <row r="203">
      <c r="D203" s="461" t="n"/>
    </row>
    <row r="204">
      <c r="D204" s="461" t="n"/>
    </row>
    <row r="205">
      <c r="D205" s="461" t="n"/>
    </row>
    <row r="206">
      <c r="D206" s="461" t="n"/>
    </row>
    <row r="207">
      <c r="D207" s="461" t="n"/>
    </row>
    <row r="208">
      <c r="D208" s="461" t="n"/>
    </row>
    <row r="209">
      <c r="D209" s="461" t="n"/>
    </row>
    <row r="210">
      <c r="D210" s="461" t="n"/>
    </row>
    <row r="211">
      <c r="D211" s="461" t="n"/>
    </row>
    <row r="212">
      <c r="D212" s="461" t="n"/>
    </row>
    <row r="213">
      <c r="D213" s="461" t="n"/>
    </row>
    <row r="214">
      <c r="D214" s="461" t="n"/>
    </row>
    <row r="215">
      <c r="D215" s="461" t="n"/>
    </row>
    <row r="216">
      <c r="D216" s="461" t="n"/>
    </row>
    <row r="217">
      <c r="D217" s="461" t="n"/>
    </row>
    <row r="218">
      <c r="D218" s="461" t="n"/>
    </row>
    <row r="219">
      <c r="D219" s="461" t="n"/>
    </row>
    <row r="220">
      <c r="D220" s="461" t="n"/>
    </row>
    <row r="221">
      <c r="D221" s="461" t="n"/>
    </row>
    <row r="222">
      <c r="D222" s="461" t="n"/>
    </row>
    <row r="223">
      <c r="D223" s="461" t="n"/>
    </row>
    <row r="224">
      <c r="D224" s="461" t="n"/>
    </row>
    <row r="225">
      <c r="D225" s="461" t="n"/>
    </row>
    <row r="226">
      <c r="D226" s="461" t="n"/>
    </row>
    <row r="227">
      <c r="D227" s="461" t="n"/>
    </row>
    <row r="228">
      <c r="D228" s="461" t="n"/>
    </row>
    <row r="229">
      <c r="D229" s="461" t="n"/>
    </row>
    <row r="230">
      <c r="D230" s="461" t="n"/>
    </row>
    <row r="231">
      <c r="D231" s="461" t="n"/>
    </row>
    <row r="232">
      <c r="D232" s="461" t="n"/>
    </row>
    <row r="233">
      <c r="D233" s="461" t="n"/>
    </row>
    <row r="234">
      <c r="D234" s="461" t="n"/>
    </row>
    <row r="235">
      <c r="D235" s="461" t="n"/>
    </row>
    <row r="236">
      <c r="D236" s="461" t="n"/>
    </row>
    <row r="237">
      <c r="D237" s="461" t="n"/>
    </row>
    <row r="238">
      <c r="D238" s="461" t="n"/>
    </row>
    <row r="239">
      <c r="D239" s="461" t="n"/>
    </row>
    <row r="240">
      <c r="D240" s="461" t="n"/>
    </row>
    <row r="241">
      <c r="D241" s="461" t="n"/>
    </row>
    <row r="242">
      <c r="D242" s="461" t="n"/>
    </row>
    <row r="243">
      <c r="D243" s="461" t="n"/>
    </row>
    <row r="244">
      <c r="D244" s="461" t="n"/>
    </row>
    <row r="245">
      <c r="D245" s="461" t="n"/>
    </row>
    <row r="246">
      <c r="D246" s="461" t="n"/>
    </row>
    <row r="247">
      <c r="D247" s="461" t="n"/>
    </row>
    <row r="248">
      <c r="D248" s="461" t="n"/>
    </row>
    <row r="249">
      <c r="D249" s="461" t="n"/>
    </row>
    <row r="250">
      <c r="D250" s="461" t="n"/>
    </row>
    <row r="251">
      <c r="D251" s="461" t="n"/>
    </row>
    <row r="252">
      <c r="D252" s="461" t="n"/>
    </row>
    <row r="253">
      <c r="D253" s="461" t="n"/>
    </row>
    <row r="254">
      <c r="D254" s="461" t="n"/>
    </row>
    <row r="255">
      <c r="D255" s="461" t="n"/>
    </row>
    <row r="256">
      <c r="D256" s="461" t="n"/>
    </row>
    <row r="257">
      <c r="D257" s="461" t="n"/>
    </row>
    <row r="258">
      <c r="D258" s="461" t="n"/>
    </row>
    <row r="259">
      <c r="D259" s="461" t="n"/>
    </row>
    <row r="260">
      <c r="D260" s="461" t="n"/>
    </row>
    <row r="261">
      <c r="D261" s="461" t="n"/>
    </row>
    <row r="262">
      <c r="D262" s="461" t="n"/>
    </row>
    <row r="263">
      <c r="D263" s="461" t="n"/>
    </row>
    <row r="264">
      <c r="D264" s="461" t="n"/>
    </row>
    <row r="265">
      <c r="D265" s="461" t="n"/>
    </row>
    <row r="266">
      <c r="D266" s="461" t="n"/>
    </row>
    <row r="267">
      <c r="D267" s="461" t="n"/>
    </row>
    <row r="268">
      <c r="D268" s="461" t="n"/>
    </row>
    <row r="269">
      <c r="D269" s="461" t="n"/>
    </row>
    <row r="270">
      <c r="D270" s="461" t="n"/>
    </row>
    <row r="271">
      <c r="D271" s="461" t="n"/>
    </row>
    <row r="272">
      <c r="D272" s="461" t="n"/>
    </row>
    <row r="273">
      <c r="D273" s="461" t="n"/>
    </row>
    <row r="274">
      <c r="D274" s="461" t="n"/>
    </row>
    <row r="275">
      <c r="D275" s="461" t="n"/>
    </row>
    <row r="276">
      <c r="D276" s="461" t="n"/>
    </row>
    <row r="277">
      <c r="D277" s="461" t="n"/>
    </row>
    <row r="278">
      <c r="D278" s="461" t="n"/>
    </row>
    <row r="279">
      <c r="D279" s="461" t="n"/>
    </row>
    <row r="280">
      <c r="D280" s="461" t="n"/>
    </row>
    <row r="281">
      <c r="D281" s="461" t="n"/>
    </row>
    <row r="282">
      <c r="D282" s="461" t="n"/>
    </row>
    <row r="283">
      <c r="D283" s="461" t="n"/>
    </row>
    <row r="284">
      <c r="D284" s="461" t="n"/>
    </row>
    <row r="285">
      <c r="D285" s="461" t="n"/>
    </row>
    <row r="286">
      <c r="D286" s="461" t="n"/>
    </row>
    <row r="287">
      <c r="D287" s="461" t="n"/>
    </row>
    <row r="288">
      <c r="D288" s="461" t="n"/>
    </row>
    <row r="289">
      <c r="D289" s="461" t="n"/>
    </row>
    <row r="290">
      <c r="D290" s="461" t="n"/>
    </row>
    <row r="291">
      <c r="D291" s="461" t="n"/>
    </row>
    <row r="292">
      <c r="D292" s="461" t="n"/>
    </row>
    <row r="293">
      <c r="D293" s="461" t="n"/>
    </row>
    <row r="294">
      <c r="D294" s="461" t="n"/>
    </row>
    <row r="295">
      <c r="D295" s="461" t="n"/>
    </row>
    <row r="296">
      <c r="D296" s="461" t="n"/>
    </row>
    <row r="297">
      <c r="D297" s="461" t="n"/>
    </row>
    <row r="298">
      <c r="D298" s="461" t="n"/>
    </row>
    <row r="299">
      <c r="D299" s="461" t="n"/>
    </row>
    <row r="300">
      <c r="D300" s="461" t="n"/>
    </row>
    <row r="301">
      <c r="D301" s="461" t="n"/>
    </row>
    <row r="302">
      <c r="D302" s="461" t="n"/>
    </row>
    <row r="303">
      <c r="D303" s="461" t="n"/>
    </row>
    <row r="304">
      <c r="D304" s="461" t="n"/>
    </row>
    <row r="305">
      <c r="D305" s="461" t="n"/>
    </row>
    <row r="306">
      <c r="D306" s="461" t="n"/>
    </row>
    <row r="307">
      <c r="D307" s="461" t="n"/>
    </row>
    <row r="308">
      <c r="D308" s="461" t="n"/>
    </row>
    <row r="309">
      <c r="D309" s="461" t="n"/>
    </row>
    <row r="310">
      <c r="D310" s="461" t="n"/>
    </row>
    <row r="311">
      <c r="D311" s="461" t="n"/>
    </row>
    <row r="312">
      <c r="D312" s="461" t="n"/>
    </row>
    <row r="313">
      <c r="D313" s="461" t="n"/>
    </row>
    <row r="314">
      <c r="D314" s="461" t="n"/>
    </row>
    <row r="315">
      <c r="D315" s="461" t="n"/>
    </row>
    <row r="316">
      <c r="D316" s="461" t="n"/>
    </row>
    <row r="317">
      <c r="D317" s="461" t="n"/>
    </row>
    <row r="318">
      <c r="D318" s="461" t="n"/>
    </row>
    <row r="319">
      <c r="D319" s="461" t="n"/>
    </row>
    <row r="320">
      <c r="D320" s="461" t="n"/>
    </row>
    <row r="321">
      <c r="D321" s="461" t="n"/>
    </row>
    <row r="322">
      <c r="D322" s="461" t="n"/>
    </row>
    <row r="323">
      <c r="D323" s="461" t="n"/>
    </row>
    <row r="324">
      <c r="D324" s="461" t="n"/>
    </row>
    <row r="325">
      <c r="D325" s="461" t="n"/>
    </row>
    <row r="326">
      <c r="D326" s="461" t="n"/>
    </row>
    <row r="327">
      <c r="D327" s="461" t="n"/>
    </row>
    <row r="328">
      <c r="D328" s="461" t="n"/>
    </row>
    <row r="329">
      <c r="D329" s="461" t="n"/>
    </row>
    <row r="330">
      <c r="D330" s="461" t="n"/>
    </row>
    <row r="331">
      <c r="D331" s="461" t="n"/>
    </row>
    <row r="332">
      <c r="D332" s="461" t="n"/>
    </row>
    <row r="333">
      <c r="D333" s="461" t="n"/>
    </row>
    <row r="334">
      <c r="D334" s="461" t="n"/>
    </row>
    <row r="335">
      <c r="D335" s="461" t="n"/>
    </row>
    <row r="336">
      <c r="D336" s="461" t="n"/>
    </row>
    <row r="337">
      <c r="D337" s="461" t="n"/>
    </row>
    <row r="338">
      <c r="D338" s="461" t="n"/>
    </row>
    <row r="339">
      <c r="D339" s="461" t="n"/>
    </row>
    <row r="340">
      <c r="D340" s="461" t="n"/>
    </row>
    <row r="341">
      <c r="D341" s="461" t="n"/>
    </row>
    <row r="342">
      <c r="D342" s="461" t="n"/>
    </row>
    <row r="343">
      <c r="D343" s="461" t="n"/>
    </row>
    <row r="344">
      <c r="D344" s="461" t="n"/>
    </row>
    <row r="345">
      <c r="D345" s="461" t="n"/>
    </row>
    <row r="346">
      <c r="D346" s="461" t="n"/>
    </row>
    <row r="347">
      <c r="D347" s="461" t="n"/>
    </row>
    <row r="348">
      <c r="D348" s="461" t="n"/>
    </row>
    <row r="349">
      <c r="D349" s="461" t="n"/>
    </row>
    <row r="350">
      <c r="D350" s="461" t="n"/>
    </row>
    <row r="351">
      <c r="D351" s="461" t="n"/>
    </row>
    <row r="352">
      <c r="D352" s="461" t="n"/>
    </row>
    <row r="353">
      <c r="D353" s="461" t="n"/>
    </row>
    <row r="354">
      <c r="D354" s="461" t="n"/>
    </row>
    <row r="355">
      <c r="D355" s="461" t="n"/>
    </row>
    <row r="356">
      <c r="D356" s="461" t="n"/>
    </row>
    <row r="357">
      <c r="D357" s="461" t="n"/>
    </row>
    <row r="358">
      <c r="D358" s="461" t="n"/>
    </row>
    <row r="359">
      <c r="D359" s="461" t="n"/>
    </row>
    <row r="360">
      <c r="D360" s="461" t="n"/>
    </row>
    <row r="361">
      <c r="D361" s="461" t="n"/>
    </row>
    <row r="362">
      <c r="D362" s="461" t="n"/>
    </row>
    <row r="363">
      <c r="D363" s="461" t="n"/>
    </row>
    <row r="364">
      <c r="D364" s="461" t="n"/>
    </row>
    <row r="365">
      <c r="D365" s="461" t="n"/>
    </row>
    <row r="366">
      <c r="D366" s="461" t="n"/>
    </row>
    <row r="367">
      <c r="D367" s="461" t="n"/>
    </row>
    <row r="368">
      <c r="D368" s="461" t="n"/>
    </row>
    <row r="369">
      <c r="D369" s="461" t="n"/>
    </row>
    <row r="370">
      <c r="D370" s="461" t="n"/>
    </row>
    <row r="371">
      <c r="D371" s="461" t="n"/>
    </row>
    <row r="372">
      <c r="D372" s="461" t="n"/>
    </row>
    <row r="373">
      <c r="D373" s="461" t="n"/>
    </row>
    <row r="374">
      <c r="D374" s="461" t="n"/>
    </row>
    <row r="375">
      <c r="D375" s="461" t="n"/>
    </row>
    <row r="376">
      <c r="D376" s="461" t="n"/>
    </row>
    <row r="377">
      <c r="D377" s="461" t="n"/>
    </row>
    <row r="378">
      <c r="D378" s="461" t="n"/>
    </row>
    <row r="379">
      <c r="D379" s="461" t="n"/>
    </row>
    <row r="380">
      <c r="D380" s="461" t="n"/>
    </row>
    <row r="381">
      <c r="D381" s="461" t="n"/>
    </row>
    <row r="382">
      <c r="D382" s="461" t="n"/>
    </row>
    <row r="383">
      <c r="D383" s="461" t="n"/>
    </row>
    <row r="384">
      <c r="D384" s="461" t="n"/>
    </row>
    <row r="385">
      <c r="D385" s="461" t="n"/>
    </row>
    <row r="386">
      <c r="D386" s="461" t="n"/>
    </row>
    <row r="387">
      <c r="D387" s="461" t="n"/>
    </row>
    <row r="388">
      <c r="D388" s="461" t="n"/>
    </row>
    <row r="389">
      <c r="D389" s="461" t="n"/>
    </row>
    <row r="390">
      <c r="D390" s="461" t="n"/>
    </row>
    <row r="391">
      <c r="D391" s="461" t="n"/>
    </row>
    <row r="392">
      <c r="D392" s="461" t="n"/>
    </row>
    <row r="393">
      <c r="D393" s="461" t="n"/>
    </row>
    <row r="394">
      <c r="D394" s="461" t="n"/>
    </row>
    <row r="395">
      <c r="D395" s="461" t="n"/>
    </row>
    <row r="396">
      <c r="D396" s="461" t="n"/>
    </row>
    <row r="397">
      <c r="D397" s="461" t="n"/>
    </row>
    <row r="398">
      <c r="D398" s="461" t="n"/>
    </row>
    <row r="399">
      <c r="D399" s="461" t="n"/>
    </row>
    <row r="400">
      <c r="D400" s="461" t="n"/>
    </row>
    <row r="401">
      <c r="D401" s="461" t="n"/>
    </row>
    <row r="402">
      <c r="D402" s="461" t="n"/>
    </row>
    <row r="403">
      <c r="D403" s="461" t="n"/>
    </row>
    <row r="404">
      <c r="D404" s="461" t="n"/>
    </row>
    <row r="405">
      <c r="D405" s="461" t="n"/>
    </row>
    <row r="406">
      <c r="D406" s="461" t="n"/>
    </row>
    <row r="407">
      <c r="D407" s="461" t="n"/>
    </row>
    <row r="408">
      <c r="D408" s="461" t="n"/>
    </row>
    <row r="409">
      <c r="D409" s="461" t="n"/>
    </row>
    <row r="410">
      <c r="D410" s="461" t="n"/>
    </row>
    <row r="411">
      <c r="D411" s="461" t="n"/>
    </row>
    <row r="412">
      <c r="D412" s="461" t="n"/>
    </row>
    <row r="413">
      <c r="D413" s="461" t="n"/>
    </row>
    <row r="414">
      <c r="D414" s="461" t="n"/>
    </row>
    <row r="415">
      <c r="D415" s="461" t="n"/>
    </row>
    <row r="416">
      <c r="D416" s="461" t="n"/>
    </row>
    <row r="417">
      <c r="D417" s="461" t="n"/>
    </row>
    <row r="418">
      <c r="D418" s="461" t="n"/>
    </row>
    <row r="419">
      <c r="D419" s="461" t="n"/>
    </row>
    <row r="420">
      <c r="D420" s="461" t="n"/>
    </row>
    <row r="421">
      <c r="D421" s="461" t="n"/>
    </row>
    <row r="422">
      <c r="D422" s="461" t="n"/>
    </row>
    <row r="423">
      <c r="D423" s="461" t="n"/>
    </row>
    <row r="424">
      <c r="D424" s="461" t="n"/>
    </row>
    <row r="425">
      <c r="D425" s="461" t="n"/>
    </row>
    <row r="426">
      <c r="D426" s="461" t="n"/>
    </row>
    <row r="427">
      <c r="D427" s="461" t="n"/>
    </row>
    <row r="428">
      <c r="D428" s="461" t="n"/>
    </row>
    <row r="429">
      <c r="D429" s="461" t="n"/>
    </row>
    <row r="430">
      <c r="D430" s="461" t="n"/>
    </row>
    <row r="431">
      <c r="D431" s="461" t="n"/>
    </row>
    <row r="432">
      <c r="D432" s="461" t="n"/>
    </row>
    <row r="433">
      <c r="D433" s="461" t="n"/>
    </row>
    <row r="434">
      <c r="D434" s="461" t="n"/>
    </row>
    <row r="435">
      <c r="D435" s="461" t="n"/>
    </row>
    <row r="436">
      <c r="D436" s="461" t="n"/>
    </row>
    <row r="437">
      <c r="D437" s="461" t="n"/>
    </row>
    <row r="438">
      <c r="D438" s="461" t="n"/>
    </row>
    <row r="439">
      <c r="D439" s="461" t="n"/>
    </row>
    <row r="440">
      <c r="D440" s="461" t="n"/>
    </row>
    <row r="441">
      <c r="D441" s="461" t="n"/>
    </row>
    <row r="442">
      <c r="D442" s="461" t="n"/>
    </row>
    <row r="443">
      <c r="D443" s="461" t="n"/>
    </row>
    <row r="444">
      <c r="D444" s="461" t="n"/>
    </row>
    <row r="445">
      <c r="D445" s="461" t="n"/>
    </row>
    <row r="446">
      <c r="D446" s="461" t="n"/>
    </row>
    <row r="447">
      <c r="D447" s="461" t="n"/>
    </row>
    <row r="448">
      <c r="D448" s="461" t="n"/>
    </row>
    <row r="449">
      <c r="D449" s="461" t="n"/>
    </row>
    <row r="450">
      <c r="D450" s="461" t="n"/>
    </row>
    <row r="451">
      <c r="D451" s="461" t="n"/>
    </row>
    <row r="452">
      <c r="D452" s="461" t="n"/>
    </row>
    <row r="453">
      <c r="D453" s="461" t="n"/>
    </row>
    <row r="454">
      <c r="D454" s="461" t="n"/>
    </row>
    <row r="455">
      <c r="D455" s="461" t="n"/>
    </row>
    <row r="456">
      <c r="D456" s="461" t="n"/>
    </row>
    <row r="457">
      <c r="D457" s="461" t="n"/>
    </row>
    <row r="458">
      <c r="D458" s="461" t="n"/>
    </row>
    <row r="459">
      <c r="D459" s="461" t="n"/>
    </row>
    <row r="460">
      <c r="D460" s="461" t="n"/>
    </row>
    <row r="461">
      <c r="D461" s="461" t="n"/>
    </row>
    <row r="462">
      <c r="D462" s="461" t="n"/>
    </row>
    <row r="463">
      <c r="D463" s="461" t="n"/>
    </row>
    <row r="464">
      <c r="D464" s="461" t="n"/>
    </row>
    <row r="465">
      <c r="D465" s="461" t="n"/>
    </row>
    <row r="466">
      <c r="D466" s="461" t="n"/>
    </row>
    <row r="467">
      <c r="D467" s="461" t="n"/>
    </row>
    <row r="468">
      <c r="D468" s="461" t="n"/>
    </row>
    <row r="469">
      <c r="D469" s="461" t="n"/>
    </row>
    <row r="470">
      <c r="D470" s="461" t="n"/>
    </row>
    <row r="471">
      <c r="D471" s="461" t="n"/>
    </row>
    <row r="472">
      <c r="D472" s="461" t="n"/>
    </row>
    <row r="473">
      <c r="D473" s="461" t="n"/>
    </row>
    <row r="474">
      <c r="D474" s="461" t="n"/>
    </row>
    <row r="475">
      <c r="D475" s="461" t="n"/>
    </row>
    <row r="476">
      <c r="D476" s="461" t="n"/>
    </row>
    <row r="477">
      <c r="D477" s="461" t="n"/>
    </row>
    <row r="478">
      <c r="D478" s="461" t="n"/>
    </row>
    <row r="479">
      <c r="D479" s="461" t="n"/>
    </row>
    <row r="480">
      <c r="D480" s="461" t="n"/>
    </row>
    <row r="481">
      <c r="D481" s="461" t="n"/>
    </row>
    <row r="482">
      <c r="D482" s="461" t="n"/>
    </row>
    <row r="483">
      <c r="D483" s="461" t="n"/>
    </row>
    <row r="484">
      <c r="D484" s="461" t="n"/>
    </row>
    <row r="485">
      <c r="D485" s="461" t="n"/>
    </row>
    <row r="486">
      <c r="D486" s="461" t="n"/>
    </row>
    <row r="487">
      <c r="D487" s="461" t="n"/>
    </row>
    <row r="488">
      <c r="D488" s="461" t="n"/>
    </row>
    <row r="489">
      <c r="D489" s="461" t="n"/>
    </row>
    <row r="490">
      <c r="D490" s="461" t="n"/>
    </row>
    <row r="491">
      <c r="D491" s="461" t="n"/>
    </row>
    <row r="492">
      <c r="D492" s="461" t="n"/>
    </row>
    <row r="493">
      <c r="D493" s="461" t="n"/>
    </row>
    <row r="494">
      <c r="D494" s="461" t="n"/>
    </row>
    <row r="495">
      <c r="D495" s="461" t="n"/>
    </row>
    <row r="496">
      <c r="D496" s="461" t="n"/>
    </row>
    <row r="497">
      <c r="D497" s="461" t="n"/>
    </row>
    <row r="498">
      <c r="D498" s="461" t="n"/>
    </row>
    <row r="499">
      <c r="D499" s="461" t="n"/>
    </row>
    <row r="500">
      <c r="D500" s="461"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2"/>
  <sheetViews>
    <sheetView workbookViewId="0">
      <pane ySplit="2" topLeftCell="A3" activePane="bottomLeft" state="frozen"/>
      <selection pane="bottomLeft" activeCell="A1" sqref="A1"/>
    </sheetView>
  </sheetViews>
  <sheetFormatPr baseColWidth="8" defaultRowHeight="15"/>
  <sheetData>
    <row r="1" ht="40" customHeight="1" s="304">
      <c r="A1" s="448" t="inlineStr">
        <is>
          <t>Learned merchant to category map. Hidden helper. A correction is written once and then reused. Do not delete rows.</t>
        </is>
      </c>
    </row>
    <row r="2" ht="32" customHeight="1" s="304">
      <c r="A2" s="449" t="inlineStr">
        <is>
          <t>Pattern</t>
        </is>
      </c>
      <c r="B2" s="449" t="inlineStr">
        <is>
          <t>Category</t>
        </is>
      </c>
      <c r="C2" s="449" t="inlineStr">
        <is>
          <t>Source</t>
        </is>
      </c>
      <c r="D2" s="449" t="inlineStr">
        <is>
          <t>Last 4</t>
        </is>
      </c>
      <c r="E2" s="449" t="inlineStr">
        <is>
          <t>Confirmed</t>
        </is>
      </c>
      <c r="F2" s="449" t="inlineStr">
        <is>
          <t>Example</t>
        </is>
      </c>
      <c r="G2" s="449" t="inlineStr">
        <is>
          <t>Updated</t>
        </is>
      </c>
    </row>
  </sheetData>
  <mergeCells count="1">
    <mergeCell ref="A1:G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39"/>
  <sheetViews>
    <sheetView workbookViewId="0">
      <pane ySplit="2" topLeftCell="A3" activePane="bottomLeft" state="frozen"/>
      <selection pane="bottomLeft" activeCell="A1" sqref="A1"/>
    </sheetView>
  </sheetViews>
  <sheetFormatPr baseColWidth="8" defaultRowHeight="15"/>
  <sheetData>
    <row r="1" ht="40" customHeight="1" s="304">
      <c r="A1" s="448" t="inlineStr">
        <is>
          <t>One row per statement that has an amount due. Statement id is Issuer Product-last4-statement date, for example CIBC Visa-1001-2026-09-27. A partial export does not add a row. Hidden helper.</t>
        </is>
      </c>
    </row>
    <row r="2" ht="32" customHeight="1" s="304">
      <c r="A2" s="449" t="inlineStr">
        <is>
          <t>Statement id</t>
        </is>
      </c>
      <c r="B2" s="449" t="inlineStr">
        <is>
          <t>Issuer</t>
        </is>
      </c>
      <c r="C2" s="449" t="inlineStr">
        <is>
          <t>Product</t>
        </is>
      </c>
      <c r="D2" s="449" t="inlineStr">
        <is>
          <t>Last 4s</t>
        </is>
      </c>
      <c r="E2" s="449" t="inlineStr">
        <is>
          <t>Period start</t>
        </is>
      </c>
      <c r="F2" s="449" t="inlineStr">
        <is>
          <t>Period end</t>
        </is>
      </c>
      <c r="G2" s="449" t="inlineStr">
        <is>
          <t>Statement date</t>
        </is>
      </c>
      <c r="H2" s="449" t="inlineStr">
        <is>
          <t>Due date</t>
        </is>
      </c>
      <c r="I2" s="449" t="inlineStr">
        <is>
          <t>Minimum</t>
        </is>
      </c>
      <c r="J2" s="449" t="inlineStr">
        <is>
          <t>Amount due</t>
        </is>
      </c>
      <c r="K2" s="449" t="inlineStr">
        <is>
          <t>Amount remaining</t>
        </is>
      </c>
      <c r="L2" s="449" t="inlineStr">
        <is>
          <t>File</t>
        </is>
      </c>
      <c r="M2" s="449" t="inlineStr">
        <is>
          <t>Paid status</t>
        </is>
      </c>
    </row>
    <row r="3">
      <c r="E3" s="502" t="n"/>
      <c r="F3" s="502" t="n"/>
      <c r="G3" s="502" t="n"/>
      <c r="H3" s="502" t="n"/>
      <c r="I3" s="499" t="n"/>
      <c r="J3" s="499" t="n"/>
      <c r="K3" s="499" t="n"/>
    </row>
    <row r="4">
      <c r="E4" s="502" t="n"/>
      <c r="F4" s="502" t="n"/>
      <c r="G4" s="502" t="n"/>
      <c r="H4" s="502" t="n"/>
      <c r="I4" s="499" t="n"/>
      <c r="J4" s="499" t="n"/>
      <c r="K4" s="499" t="n"/>
    </row>
    <row r="5">
      <c r="E5" s="502" t="n"/>
      <c r="F5" s="502" t="n"/>
      <c r="G5" s="502" t="n"/>
      <c r="H5" s="502" t="n"/>
      <c r="I5" s="499" t="n"/>
      <c r="J5" s="499" t="n"/>
      <c r="K5" s="499" t="n"/>
    </row>
    <row r="6">
      <c r="E6" s="502" t="n"/>
      <c r="F6" s="502" t="n"/>
      <c r="G6" s="502" t="n"/>
      <c r="H6" s="502" t="n"/>
      <c r="I6" s="499" t="n"/>
      <c r="J6" s="499" t="n"/>
      <c r="K6" s="499" t="n"/>
    </row>
    <row r="7">
      <c r="E7" s="502" t="n"/>
      <c r="F7" s="502" t="n"/>
      <c r="G7" s="502" t="n"/>
      <c r="H7" s="502" t="n"/>
      <c r="I7" s="499" t="n"/>
      <c r="J7" s="499" t="n"/>
      <c r="K7" s="499" t="n"/>
    </row>
    <row r="8">
      <c r="E8" s="502" t="n"/>
      <c r="F8" s="502" t="n"/>
      <c r="G8" s="502" t="n"/>
      <c r="H8" s="502" t="n"/>
      <c r="I8" s="499" t="n"/>
      <c r="J8" s="499" t="n"/>
      <c r="K8" s="499" t="n"/>
    </row>
    <row r="9">
      <c r="E9" s="502" t="n"/>
      <c r="F9" s="502" t="n"/>
      <c r="G9" s="502" t="n"/>
      <c r="H9" s="502" t="n"/>
      <c r="I9" s="499" t="n"/>
      <c r="J9" s="499" t="n"/>
      <c r="K9" s="499" t="n"/>
    </row>
    <row r="10">
      <c r="E10" s="502" t="n"/>
      <c r="F10" s="502" t="n"/>
      <c r="G10" s="502" t="n"/>
      <c r="H10" s="502" t="n"/>
      <c r="I10" s="499" t="n"/>
      <c r="J10" s="499" t="n"/>
      <c r="K10" s="499" t="n"/>
    </row>
    <row r="11">
      <c r="E11" s="502" t="n"/>
      <c r="F11" s="502" t="n"/>
      <c r="G11" s="502" t="n"/>
      <c r="H11" s="502" t="n"/>
      <c r="I11" s="499" t="n"/>
      <c r="J11" s="499" t="n"/>
      <c r="K11" s="499" t="n"/>
    </row>
    <row r="12">
      <c r="E12" s="502" t="n"/>
      <c r="F12" s="502" t="n"/>
      <c r="G12" s="502" t="n"/>
      <c r="H12" s="502" t="n"/>
      <c r="I12" s="499" t="n"/>
      <c r="J12" s="499" t="n"/>
      <c r="K12" s="499" t="n"/>
    </row>
    <row r="13">
      <c r="E13" s="502" t="n"/>
      <c r="F13" s="502" t="n"/>
      <c r="G13" s="502" t="n"/>
      <c r="H13" s="502" t="n"/>
      <c r="I13" s="499" t="n"/>
      <c r="J13" s="499" t="n"/>
      <c r="K13" s="499" t="n"/>
    </row>
    <row r="14">
      <c r="E14" s="502" t="n"/>
      <c r="F14" s="502" t="n"/>
      <c r="G14" s="502" t="n"/>
      <c r="H14" s="502" t="n"/>
      <c r="I14" s="499" t="n"/>
      <c r="J14" s="499" t="n"/>
      <c r="K14" s="499" t="n"/>
    </row>
    <row r="15">
      <c r="E15" s="502" t="n"/>
      <c r="F15" s="502" t="n"/>
      <c r="G15" s="502" t="n"/>
      <c r="H15" s="502" t="n"/>
      <c r="I15" s="499" t="n"/>
      <c r="J15" s="499" t="n"/>
      <c r="K15" s="499" t="n"/>
    </row>
    <row r="16">
      <c r="E16" s="502" t="n"/>
      <c r="F16" s="502" t="n"/>
      <c r="G16" s="502" t="n"/>
      <c r="H16" s="502" t="n"/>
      <c r="I16" s="499" t="n"/>
      <c r="J16" s="499" t="n"/>
      <c r="K16" s="499" t="n"/>
    </row>
    <row r="17">
      <c r="E17" s="502" t="n"/>
      <c r="F17" s="502" t="n"/>
      <c r="G17" s="502" t="n"/>
      <c r="H17" s="502" t="n"/>
      <c r="I17" s="499" t="n"/>
      <c r="J17" s="499" t="n"/>
      <c r="K17" s="499" t="n"/>
    </row>
    <row r="18">
      <c r="E18" s="502" t="n"/>
      <c r="F18" s="502" t="n"/>
      <c r="G18" s="502" t="n"/>
      <c r="H18" s="502" t="n"/>
      <c r="I18" s="499" t="n"/>
      <c r="J18" s="499" t="n"/>
      <c r="K18" s="499" t="n"/>
    </row>
    <row r="19">
      <c r="E19" s="502" t="n"/>
      <c r="F19" s="502" t="n"/>
      <c r="G19" s="502" t="n"/>
      <c r="H19" s="502" t="n"/>
      <c r="I19" s="499" t="n"/>
      <c r="J19" s="499" t="n"/>
      <c r="K19" s="499" t="n"/>
    </row>
    <row r="20">
      <c r="E20" s="502" t="n"/>
      <c r="F20" s="502" t="n"/>
      <c r="G20" s="502" t="n"/>
      <c r="H20" s="502" t="n"/>
      <c r="I20" s="499" t="n"/>
      <c r="J20" s="499" t="n"/>
      <c r="K20" s="499" t="n"/>
    </row>
    <row r="21">
      <c r="E21" s="502" t="n"/>
      <c r="F21" s="502" t="n"/>
      <c r="G21" s="502" t="n"/>
      <c r="H21" s="502" t="n"/>
      <c r="I21" s="499" t="n"/>
      <c r="J21" s="499" t="n"/>
      <c r="K21" s="499" t="n"/>
    </row>
    <row r="22">
      <c r="E22" s="502" t="n"/>
      <c r="F22" s="502" t="n"/>
      <c r="G22" s="502" t="n"/>
      <c r="H22" s="502" t="n"/>
      <c r="I22" s="499" t="n"/>
      <c r="J22" s="499" t="n"/>
      <c r="K22" s="499" t="n"/>
    </row>
    <row r="23">
      <c r="E23" s="502" t="n"/>
      <c r="F23" s="502" t="n"/>
      <c r="G23" s="502" t="n"/>
      <c r="H23" s="502" t="n"/>
      <c r="I23" s="499" t="n"/>
      <c r="J23" s="499" t="n"/>
      <c r="K23" s="499" t="n"/>
    </row>
    <row r="24">
      <c r="E24" s="502" t="n"/>
      <c r="F24" s="502" t="n"/>
      <c r="G24" s="502" t="n"/>
      <c r="H24" s="502" t="n"/>
      <c r="I24" s="499" t="n"/>
      <c r="J24" s="499" t="n"/>
      <c r="K24" s="499" t="n"/>
    </row>
    <row r="25">
      <c r="E25" s="502" t="n"/>
      <c r="F25" s="502" t="n"/>
      <c r="G25" s="502" t="n"/>
      <c r="H25" s="502" t="n"/>
      <c r="I25" s="499" t="n"/>
      <c r="J25" s="499" t="n"/>
      <c r="K25" s="499" t="n"/>
    </row>
    <row r="26">
      <c r="E26" s="502" t="n"/>
      <c r="F26" s="502" t="n"/>
      <c r="G26" s="502" t="n"/>
      <c r="H26" s="502" t="n"/>
      <c r="I26" s="499" t="n"/>
      <c r="J26" s="499" t="n"/>
      <c r="K26" s="499" t="n"/>
    </row>
    <row r="27">
      <c r="E27" s="502" t="n"/>
      <c r="F27" s="502" t="n"/>
      <c r="G27" s="502" t="n"/>
      <c r="H27" s="502" t="n"/>
      <c r="I27" s="499" t="n"/>
      <c r="J27" s="499" t="n"/>
      <c r="K27" s="499" t="n"/>
    </row>
    <row r="28">
      <c r="E28" s="502" t="n"/>
      <c r="F28" s="502" t="n"/>
      <c r="G28" s="502" t="n"/>
      <c r="H28" s="502" t="n"/>
      <c r="I28" s="499" t="n"/>
      <c r="J28" s="499" t="n"/>
      <c r="K28" s="499" t="n"/>
    </row>
    <row r="29">
      <c r="E29" s="502" t="n"/>
      <c r="F29" s="502" t="n"/>
      <c r="G29" s="502" t="n"/>
      <c r="H29" s="502" t="n"/>
      <c r="I29" s="499" t="n"/>
      <c r="J29" s="499" t="n"/>
      <c r="K29" s="499" t="n"/>
    </row>
    <row r="30">
      <c r="E30" s="502" t="n"/>
      <c r="F30" s="502" t="n"/>
      <c r="G30" s="502" t="n"/>
      <c r="H30" s="502" t="n"/>
      <c r="I30" s="499" t="n"/>
      <c r="J30" s="499" t="n"/>
      <c r="K30" s="499" t="n"/>
    </row>
    <row r="31">
      <c r="E31" s="502" t="n"/>
      <c r="F31" s="502" t="n"/>
      <c r="G31" s="502" t="n"/>
      <c r="H31" s="502" t="n"/>
      <c r="I31" s="499" t="n"/>
      <c r="J31" s="499" t="n"/>
      <c r="K31" s="499" t="n"/>
    </row>
    <row r="32">
      <c r="E32" s="502" t="n"/>
      <c r="F32" s="502" t="n"/>
      <c r="G32" s="502" t="n"/>
      <c r="H32" s="502" t="n"/>
      <c r="I32" s="499" t="n"/>
      <c r="J32" s="499" t="n"/>
      <c r="K32" s="499" t="n"/>
    </row>
    <row r="33">
      <c r="E33" s="502" t="n"/>
      <c r="F33" s="502" t="n"/>
      <c r="G33" s="502" t="n"/>
      <c r="H33" s="502" t="n"/>
      <c r="I33" s="499" t="n"/>
      <c r="J33" s="499" t="n"/>
      <c r="K33" s="499" t="n"/>
    </row>
    <row r="34">
      <c r="E34" s="502" t="n"/>
      <c r="F34" s="502" t="n"/>
      <c r="G34" s="502" t="n"/>
      <c r="H34" s="502" t="n"/>
      <c r="I34" s="499" t="n"/>
      <c r="J34" s="499" t="n"/>
      <c r="K34" s="499" t="n"/>
    </row>
    <row r="35">
      <c r="E35" s="502" t="n"/>
      <c r="F35" s="502" t="n"/>
      <c r="G35" s="502" t="n"/>
      <c r="H35" s="502" t="n"/>
      <c r="I35" s="499" t="n"/>
      <c r="J35" s="499" t="n"/>
      <c r="K35" s="499" t="n"/>
    </row>
    <row r="36">
      <c r="E36" s="502" t="n"/>
      <c r="F36" s="502" t="n"/>
      <c r="G36" s="502" t="n"/>
      <c r="H36" s="502" t="n"/>
      <c r="I36" s="499" t="n"/>
      <c r="J36" s="499" t="n"/>
      <c r="K36" s="499" t="n"/>
    </row>
    <row r="37">
      <c r="E37" s="502" t="n"/>
      <c r="F37" s="502" t="n"/>
      <c r="G37" s="502" t="n"/>
      <c r="H37" s="502" t="n"/>
      <c r="I37" s="499" t="n"/>
      <c r="J37" s="499" t="n"/>
      <c r="K37" s="499" t="n"/>
    </row>
    <row r="38">
      <c r="E38" s="502" t="n"/>
      <c r="F38" s="502" t="n"/>
      <c r="G38" s="502" t="n"/>
      <c r="H38" s="502" t="n"/>
      <c r="I38" s="499" t="n"/>
      <c r="J38" s="499" t="n"/>
      <c r="K38" s="499" t="n"/>
    </row>
    <row r="39">
      <c r="E39" s="502" t="n"/>
      <c r="F39" s="502" t="n"/>
      <c r="G39" s="502" t="n"/>
      <c r="H39" s="502" t="n"/>
      <c r="I39" s="499" t="n"/>
      <c r="J39" s="499" t="n"/>
      <c r="K39" s="499" t="n"/>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SkybatanX</dc:creator>
  <dc:title>Family Book - Household Income &amp; Expense Tracker v1.2</dc:title>
  <dc:description>Originally based on a Microsoft template and since adapted. Feel free to share, but please keep this copyright notice.</dc:description>
  <dc:subject>Family Book - Household Income &amp; Expense Tracker v1.2</dc:subject>
  <dcterms:created xsi:type="dcterms:W3CDTF">2003-04-01T00:58:52Z</dcterms:created>
  <dcterms:modified xsi:type="dcterms:W3CDTF">2026-10-24T03:26:32Z</dcterms:modified>
  <cp:lastModifiedBy>SkybatanX</cp:lastModifiedBy>
  <cp:revision>1</cp:revision>
  <cp:keywords>family budget, household expenses</cp:keywords>
  <cp:lastPrinted>2006-11-23T01:18:41Z</cp:lastPrinted>
</cp:coreProperties>
</file>

<file path=docProps/custom.xml><?xml version="1.0" encoding="utf-8"?>
<Properties xmlns:vt="http://schemas.openxmlformats.org/officeDocument/2006/docPropsVTypes" xmlns="http://schemas.openxmlformats.org/officeDocument/2006/custom-properties">
  <property name="_TemplateID" fmtid="{D5CDD505-2E9C-101B-9397-08002B2CF9AE}" pid="2">
    <vt:lpwstr>TC011448821028</vt:lpwstr>
  </property>
</Properties>
</file>